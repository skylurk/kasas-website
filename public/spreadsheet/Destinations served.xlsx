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DY ALLAN\Downloads\"/>
    </mc:Choice>
  </mc:AlternateContent>
  <xr:revisionPtr revIDLastSave="0" documentId="13_ncr:1_{AB9C67F3-E370-4C36-8B55-D8EED383AC74}" xr6:coauthVersionLast="37" xr6:coauthVersionMax="37" xr10:uidLastSave="{00000000-0000-0000-0000-000000000000}"/>
  <bookViews>
    <workbookView xWindow="0" yWindow="0" windowWidth="28800" windowHeight="11805" activeTab="3" xr2:uid="{00000000-000D-0000-FFFF-FFFF00000000}"/>
  </bookViews>
  <sheets>
    <sheet name="LOOKUP" sheetId="1" r:id="rId1"/>
    <sheet name="Airfield List" sheetId="2" r:id="rId2"/>
    <sheet name="SETTINGS" sheetId="3" r:id="rId3"/>
    <sheet name="KENYA" sheetId="4" r:id="rId4"/>
    <sheet name="TANZANIA" sheetId="5" r:id="rId5"/>
    <sheet name="ETHIOPIA" sheetId="6" r:id="rId6"/>
    <sheet name="DRC" sheetId="7" r:id="rId7"/>
    <sheet name="SOMALIA" sheetId="8" r:id="rId8"/>
    <sheet name="CHAD" sheetId="9" r:id="rId9"/>
    <sheet name="MALI" sheetId="10" r:id="rId10"/>
    <sheet name="BURKINO FASO" sheetId="11" r:id="rId11"/>
    <sheet name="ZIMBABWE" sheetId="12" r:id="rId12"/>
    <sheet name="ZAMBIA" sheetId="13" r:id="rId13"/>
    <sheet name="MALAWI" sheetId="14" r:id="rId14"/>
    <sheet name="SA" sheetId="15" r:id="rId15"/>
  </sheets>
  <calcPr calcId="179021"/>
</workbook>
</file>

<file path=xl/calcChain.xml><?xml version="1.0" encoding="utf-8"?>
<calcChain xmlns="http://schemas.openxmlformats.org/spreadsheetml/2006/main">
  <c r="D3" i="15" l="1"/>
  <c r="C3" i="15"/>
  <c r="C4" i="14"/>
  <c r="D3" i="14"/>
  <c r="C3" i="14"/>
  <c r="D3" i="13"/>
  <c r="C3" i="13"/>
  <c r="C4" i="12"/>
  <c r="D3" i="12"/>
  <c r="C3" i="12"/>
  <c r="C10" i="11"/>
  <c r="C9" i="11"/>
  <c r="C8" i="11"/>
  <c r="C7" i="11"/>
  <c r="C6" i="11"/>
  <c r="C5" i="11"/>
  <c r="D4" i="11"/>
  <c r="C4" i="11"/>
  <c r="D3" i="11"/>
  <c r="C3" i="11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D3" i="10"/>
  <c r="C3" i="10"/>
  <c r="D3" i="9"/>
  <c r="C3" i="9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D3" i="8"/>
  <c r="C3" i="8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D3" i="7"/>
  <c r="C3" i="7"/>
  <c r="C4" i="6"/>
  <c r="D3" i="6"/>
  <c r="C3" i="6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B2" i="3" a="1"/>
  <c r="B11" i="3" s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B12" i="3" l="1"/>
  <c r="B14" i="3"/>
  <c r="B15" i="3"/>
  <c r="B4" i="3"/>
  <c r="B5" i="3"/>
  <c r="B17" i="3"/>
  <c r="B2" i="3"/>
  <c r="B13" i="3"/>
  <c r="B16" i="3"/>
  <c r="B6" i="3"/>
  <c r="B18" i="3"/>
  <c r="B3" i="3"/>
  <c r="B7" i="3"/>
  <c r="B19" i="3"/>
  <c r="B8" i="3"/>
  <c r="B20" i="3"/>
  <c r="B9" i="3"/>
  <c r="B21" i="3"/>
  <c r="B10" i="3"/>
  <c r="B22" i="3"/>
</calcChain>
</file>

<file path=xl/sharedStrings.xml><?xml version="1.0" encoding="utf-8"?>
<sst xmlns="http://schemas.openxmlformats.org/spreadsheetml/2006/main" count="1178" uniqueCount="473">
  <si>
    <t>COUNTRY</t>
  </si>
  <si>
    <t>AIRPORT NAMES</t>
  </si>
  <si>
    <t>POINT OF ENTRY</t>
  </si>
  <si>
    <t>KENYA</t>
  </si>
  <si>
    <t>Airfield Name</t>
  </si>
  <si>
    <t>Country</t>
  </si>
  <si>
    <t>Region</t>
  </si>
  <si>
    <t>Abudwak</t>
  </si>
  <si>
    <t>SOMALIA</t>
  </si>
  <si>
    <t>Addis Ababa International</t>
  </si>
  <si>
    <t>ETHIOPIA</t>
  </si>
  <si>
    <t>Afmadow</t>
  </si>
  <si>
    <t>Agok</t>
  </si>
  <si>
    <t>SOUTH SUDAN</t>
  </si>
  <si>
    <t>Airspray</t>
  </si>
  <si>
    <t>Ajuong Thok</t>
  </si>
  <si>
    <t>Akobo</t>
  </si>
  <si>
    <t>Akon</t>
  </si>
  <si>
    <t>Alek</t>
  </si>
  <si>
    <t>Alia Bay</t>
  </si>
  <si>
    <t>Amboseli</t>
  </si>
  <si>
    <t>Angama</t>
  </si>
  <si>
    <t>Ansongo</t>
  </si>
  <si>
    <t>MALI</t>
  </si>
  <si>
    <t>Arroket Sotik</t>
  </si>
  <si>
    <t>Aru</t>
  </si>
  <si>
    <t>TANZANIA</t>
  </si>
  <si>
    <t>Arua</t>
  </si>
  <si>
    <t>Aruba</t>
  </si>
  <si>
    <t>Arusha</t>
  </si>
  <si>
    <t>Aweil</t>
  </si>
  <si>
    <t>Ayod</t>
  </si>
  <si>
    <t>Bafoulabe</t>
  </si>
  <si>
    <t>Bahasi</t>
  </si>
  <si>
    <t>Baidoa</t>
  </si>
  <si>
    <t>Baledogle</t>
  </si>
  <si>
    <t>Bamako International</t>
  </si>
  <si>
    <t>Bamburi</t>
  </si>
  <si>
    <t>Bandiagara</t>
  </si>
  <si>
    <t>Barawe</t>
  </si>
  <si>
    <t>Barclays</t>
  </si>
  <si>
    <t>Bardera</t>
  </si>
  <si>
    <t>Baringo</t>
  </si>
  <si>
    <t>Beletuen</t>
  </si>
  <si>
    <t>Bengassi Manantali</t>
  </si>
  <si>
    <t>Beni</t>
  </si>
  <si>
    <t>DRC</t>
  </si>
  <si>
    <t>Berbera</t>
  </si>
  <si>
    <t>Berdale</t>
  </si>
  <si>
    <t>Bobo-Dioulasso</t>
  </si>
  <si>
    <t>BURKINA FASO</t>
  </si>
  <si>
    <t>Boma</t>
  </si>
  <si>
    <t>Bomet</t>
  </si>
  <si>
    <t>Bor</t>
  </si>
  <si>
    <t>Borana</t>
  </si>
  <si>
    <t>Bosaso</t>
  </si>
  <si>
    <t>Boungou</t>
  </si>
  <si>
    <t>Bourem</t>
  </si>
  <si>
    <t>Bukavu</t>
  </si>
  <si>
    <t>Bulawayo</t>
  </si>
  <si>
    <t>ZIMBABWE</t>
  </si>
  <si>
    <t>Bulo Burte</t>
  </si>
  <si>
    <t>Bungoma</t>
  </si>
  <si>
    <t>Bunia</t>
  </si>
  <si>
    <t>Burao</t>
  </si>
  <si>
    <t>Buurdhuubo</t>
  </si>
  <si>
    <t>Campi-Ya-Kanzi</t>
  </si>
  <si>
    <t>Chaffa</t>
  </si>
  <si>
    <t>Chukudum</t>
  </si>
  <si>
    <t>Chyulu-West</t>
  </si>
  <si>
    <t>Colcheccio Loisaba</t>
  </si>
  <si>
    <t>Congrieve</t>
  </si>
  <si>
    <t>Conoco</t>
  </si>
  <si>
    <t>Cottars Mara 1920's</t>
  </si>
  <si>
    <t>Crocodile Camp</t>
  </si>
  <si>
    <t>Dadaab</t>
  </si>
  <si>
    <t>Dar es Salaam International</t>
  </si>
  <si>
    <t>Delamere-Camp</t>
  </si>
  <si>
    <t>Delemares</t>
  </si>
  <si>
    <t>Dhobley</t>
  </si>
  <si>
    <t>Dhuusamarreeb</t>
  </si>
  <si>
    <t>Dinsoor</t>
  </si>
  <si>
    <t>Dire Dawa</t>
  </si>
  <si>
    <t>Djibouti International</t>
  </si>
  <si>
    <t>DJIBOUTI</t>
  </si>
  <si>
    <t>Dodoma International</t>
  </si>
  <si>
    <t>Dolly Estate</t>
  </si>
  <si>
    <t>Doolow</t>
  </si>
  <si>
    <t>Dori</t>
  </si>
  <si>
    <t>Douentza</t>
  </si>
  <si>
    <t>DWA Kibwezi</t>
  </si>
  <si>
    <t>Eilye Springs</t>
  </si>
  <si>
    <t>El Berde</t>
  </si>
  <si>
    <t>El Wak</t>
  </si>
  <si>
    <t xml:space="preserve">Eldoret International </t>
  </si>
  <si>
    <t>Eldoret-Town</t>
  </si>
  <si>
    <t>Elementaita</t>
  </si>
  <si>
    <t>Eliye-Springs</t>
  </si>
  <si>
    <t>Elkarama-Ranch</t>
  </si>
  <si>
    <t>Elmentaita</t>
  </si>
  <si>
    <t>Embu</t>
  </si>
  <si>
    <t>Enasoit</t>
  </si>
  <si>
    <t>Engelesha</t>
  </si>
  <si>
    <t>Essakane</t>
  </si>
  <si>
    <t>Fada N'gourma International</t>
  </si>
  <si>
    <t>Farmland</t>
  </si>
  <si>
    <t>Finch Hattons</t>
  </si>
  <si>
    <t>Finley Marinyn Kericho</t>
  </si>
  <si>
    <t>Flourspar</t>
  </si>
  <si>
    <t>Fort Ikoma</t>
  </si>
  <si>
    <t>Funzi</t>
  </si>
  <si>
    <t>Galdessa</t>
  </si>
  <si>
    <t>Galkayo</t>
  </si>
  <si>
    <t>Galkayo South</t>
  </si>
  <si>
    <t>Gao</t>
  </si>
  <si>
    <t>Garbahaarrey</t>
  </si>
  <si>
    <t>Garissa</t>
  </si>
  <si>
    <t>Garowe</t>
  </si>
  <si>
    <t>Garsen</t>
  </si>
  <si>
    <t>Gilgil - Barlows</t>
  </si>
  <si>
    <t>Gogar Farm</t>
  </si>
  <si>
    <t>Goma (DRC)</t>
  </si>
  <si>
    <t>Gorom</t>
  </si>
  <si>
    <t>Goundam</t>
  </si>
  <si>
    <t>Greenpark</t>
  </si>
  <si>
    <t>Grumeti</t>
  </si>
  <si>
    <t>Guriel</t>
  </si>
  <si>
    <t>Habaswein</t>
  </si>
  <si>
    <t>Hafun</t>
  </si>
  <si>
    <t>Harare International</t>
  </si>
  <si>
    <t>Hargeisa</t>
  </si>
  <si>
    <t>SOMALILAND</t>
  </si>
  <si>
    <t>Hobyo</t>
  </si>
  <si>
    <t>Hola</t>
  </si>
  <si>
    <t>Homa Bay</t>
  </si>
  <si>
    <t>Huddur</t>
  </si>
  <si>
    <t>Ibis</t>
  </si>
  <si>
    <t>Ilangwesi</t>
  </si>
  <si>
    <t>Ileret-Main</t>
  </si>
  <si>
    <t xml:space="preserve">Iringa </t>
  </si>
  <si>
    <t>Isiolo</t>
  </si>
  <si>
    <t>Iskushuban</t>
  </si>
  <si>
    <t>Ithumba</t>
  </si>
  <si>
    <t>Johwar</t>
  </si>
  <si>
    <t>Juba International</t>
  </si>
  <si>
    <t>Kabalo</t>
  </si>
  <si>
    <t>Kabarak</t>
  </si>
  <si>
    <t>Kabarnet</t>
  </si>
  <si>
    <t>Kagera Sugar</t>
  </si>
  <si>
    <t>UGANDA</t>
  </si>
  <si>
    <t>Kahama</t>
  </si>
  <si>
    <t>Kajansi</t>
  </si>
  <si>
    <t>Kajo Keji</t>
  </si>
  <si>
    <t>Kakamega</t>
  </si>
  <si>
    <t>Kakuma</t>
  </si>
  <si>
    <t>Kalacha south</t>
  </si>
  <si>
    <t>Kalama</t>
  </si>
  <si>
    <t>Kalemie</t>
  </si>
  <si>
    <t>Kaluku</t>
  </si>
  <si>
    <t>Kamanga</t>
  </si>
  <si>
    <t>Kamboyo</t>
  </si>
  <si>
    <t>Kamogi</t>
  </si>
  <si>
    <t>Kampi Ya Kanzi</t>
  </si>
  <si>
    <t>Kamwaki Ole Naishu</t>
  </si>
  <si>
    <t>Kananga</t>
  </si>
  <si>
    <t>Kapese</t>
  </si>
  <si>
    <t>Kapsabet</t>
  </si>
  <si>
    <t>Kapsambewea</t>
  </si>
  <si>
    <t>Karonga (Malawi)</t>
  </si>
  <si>
    <t>MALAWI</t>
  </si>
  <si>
    <t>Kauda</t>
  </si>
  <si>
    <t>SUDAN</t>
  </si>
  <si>
    <t>Kayes</t>
  </si>
  <si>
    <t>Keekerok</t>
  </si>
  <si>
    <t>Kenieba</t>
  </si>
  <si>
    <t>Kericho Marinyn</t>
  </si>
  <si>
    <t>Khoraf Harar</t>
  </si>
  <si>
    <t>Kichwa Tembo</t>
  </si>
  <si>
    <t>Kidal</t>
  </si>
  <si>
    <t>Kifuku Estate</t>
  </si>
  <si>
    <t>Kigali International</t>
  </si>
  <si>
    <t>RWANDA</t>
  </si>
  <si>
    <t>Kigoma International</t>
  </si>
  <si>
    <t>Kijipwa</t>
  </si>
  <si>
    <t>Kikondja</t>
  </si>
  <si>
    <t>Kikungwa</t>
  </si>
  <si>
    <t>Kilalinda</t>
  </si>
  <si>
    <t>Kilanguni</t>
  </si>
  <si>
    <t>Kili-Buffalo</t>
  </si>
  <si>
    <t>Kilifi-Mnarani</t>
  </si>
  <si>
    <t>Kilimanjaro International</t>
  </si>
  <si>
    <t>Kimana</t>
  </si>
  <si>
    <t>Kimanju/ Ole Lendille</t>
  </si>
  <si>
    <t>Kindu</t>
  </si>
  <si>
    <t>Kinna</t>
  </si>
  <si>
    <t>Kisangani Bangoka International</t>
  </si>
  <si>
    <t>Kisii Suneka</t>
  </si>
  <si>
    <t>Kisima Timau</t>
  </si>
  <si>
    <t>Kismayo  International</t>
  </si>
  <si>
    <t>Kisumu International</t>
  </si>
  <si>
    <t>Kitale</t>
  </si>
  <si>
    <t>Kithaysu Umani Springs</t>
  </si>
  <si>
    <t>Kitich Camp</t>
  </si>
  <si>
    <t>Kitui</t>
  </si>
  <si>
    <t>Kiwayu</t>
  </si>
  <si>
    <t>Kodok</t>
  </si>
  <si>
    <t>Kogatende</t>
  </si>
  <si>
    <t>Kolokani</t>
  </si>
  <si>
    <t>Komok</t>
  </si>
  <si>
    <t>Kongolo</t>
  </si>
  <si>
    <t>Kongoussi</t>
  </si>
  <si>
    <t>Koobi Fora</t>
  </si>
  <si>
    <t>Kopoeta</t>
  </si>
  <si>
    <t>Kora</t>
  </si>
  <si>
    <t>Koros use Sedar?</t>
  </si>
  <si>
    <t>Koutiala</t>
  </si>
  <si>
    <t>Kowop</t>
  </si>
  <si>
    <t>Kuajok</t>
  </si>
  <si>
    <t>Kulalu</t>
  </si>
  <si>
    <t>Kuti</t>
  </si>
  <si>
    <t>Laikipia Ranch</t>
  </si>
  <si>
    <t>Lake Manyara</t>
  </si>
  <si>
    <t>Lake Jipe</t>
  </si>
  <si>
    <t>Lamai</t>
  </si>
  <si>
    <t>Lamu</t>
  </si>
  <si>
    <t xml:space="preserve">Lamu Manda Point </t>
  </si>
  <si>
    <t>Lanet-Prairies</t>
  </si>
  <si>
    <t>Lankien</t>
  </si>
  <si>
    <t>Lanseria International</t>
  </si>
  <si>
    <t>SA</t>
  </si>
  <si>
    <t>Leer</t>
  </si>
  <si>
    <t>Lendille Kimanju</t>
  </si>
  <si>
    <t>Lewa Downs</t>
  </si>
  <si>
    <t>Liboi</t>
  </si>
  <si>
    <t>Lilongwe International</t>
  </si>
  <si>
    <t>Lobo</t>
  </si>
  <si>
    <t>Lodja</t>
  </si>
  <si>
    <t>Lodwar</t>
  </si>
  <si>
    <t>Loisaba</t>
  </si>
  <si>
    <t>Loitokitok</t>
  </si>
  <si>
    <t>Loiyangalani</t>
  </si>
  <si>
    <t>Lokichar</t>
  </si>
  <si>
    <t>Lokichoggio International</t>
  </si>
  <si>
    <t>Lokitaung</t>
  </si>
  <si>
    <t>Loldia</t>
  </si>
  <si>
    <t>Loliondo</t>
  </si>
  <si>
    <t>Lolomarik</t>
  </si>
  <si>
    <t>Lugards-Falls South</t>
  </si>
  <si>
    <t>Lulimba</t>
  </si>
  <si>
    <t>Luuq</t>
  </si>
  <si>
    <t>Maban</t>
  </si>
  <si>
    <t>Mabior</t>
  </si>
  <si>
    <t>Mafia</t>
  </si>
  <si>
    <t>Magadi</t>
  </si>
  <si>
    <t>Magogoni (NAVY)</t>
  </si>
  <si>
    <t>Mahale</t>
  </si>
  <si>
    <t>Makindu</t>
  </si>
  <si>
    <t>Maktau Gate</t>
  </si>
  <si>
    <t>Malakal</t>
  </si>
  <si>
    <t>Malemba</t>
  </si>
  <si>
    <t>Malinda</t>
  </si>
  <si>
    <t>Malindi International</t>
  </si>
  <si>
    <t>Manda Point</t>
  </si>
  <si>
    <t>Mandera</t>
  </si>
  <si>
    <t>Manono</t>
  </si>
  <si>
    <t>Manyani</t>
  </si>
  <si>
    <t>Mara North</t>
  </si>
  <si>
    <t xml:space="preserve">Mara Serena </t>
  </si>
  <si>
    <t>Mara Shikar</t>
  </si>
  <si>
    <t>Maralal Kisima</t>
  </si>
  <si>
    <t>Marania</t>
  </si>
  <si>
    <t>Maridi</t>
  </si>
  <si>
    <t>Marinyn</t>
  </si>
  <si>
    <t>Marsabit</t>
  </si>
  <si>
    <t>Mbaruk</t>
  </si>
  <si>
    <t>Mbeya</t>
  </si>
  <si>
    <t>Mbirikani</t>
  </si>
  <si>
    <t>Menaka</t>
  </si>
  <si>
    <t>Menengai</t>
  </si>
  <si>
    <t>Meru Kinna</t>
  </si>
  <si>
    <t>Meru-Mulika lodge</t>
  </si>
  <si>
    <t>Migori</t>
  </si>
  <si>
    <t>Milgis</t>
  </si>
  <si>
    <t>Milmet</t>
  </si>
  <si>
    <t>Mitwaba</t>
  </si>
  <si>
    <t>Mkowe Lamu Mainland</t>
  </si>
  <si>
    <t>Moba</t>
  </si>
  <si>
    <t>Mogadishu</t>
  </si>
  <si>
    <t>Mogwooni</t>
  </si>
  <si>
    <t>Mombasa International</t>
  </si>
  <si>
    <t>Mopti</t>
  </si>
  <si>
    <t>Moshi</t>
  </si>
  <si>
    <t>Mount Kenya Safari Club</t>
  </si>
  <si>
    <t>Moyale Lower</t>
  </si>
  <si>
    <t>Mpala Farm</t>
  </si>
  <si>
    <t>Mt Elgon Orchard</t>
  </si>
  <si>
    <t>Mtito Andei</t>
  </si>
  <si>
    <t>Mtwara</t>
  </si>
  <si>
    <t>Mugie</t>
  </si>
  <si>
    <t>Mugwangho Elsas Kjopie</t>
  </si>
  <si>
    <t>Mukatan</t>
  </si>
  <si>
    <t>Mumias</t>
  </si>
  <si>
    <t>Mundri</t>
  </si>
  <si>
    <t>Mundui</t>
  </si>
  <si>
    <t>Muridjo Ol Malo</t>
  </si>
  <si>
    <t>Musiara</t>
  </si>
  <si>
    <t>Musoma International</t>
  </si>
  <si>
    <t>Mwanza International</t>
  </si>
  <si>
    <t>Mwatate</t>
  </si>
  <si>
    <t>Mweiga</t>
  </si>
  <si>
    <t>N'Djamena International</t>
  </si>
  <si>
    <t>CHAD</t>
  </si>
  <si>
    <t>Nairobi Jomo Kenyatta International</t>
  </si>
  <si>
    <t>Nairobi Wilson International</t>
  </si>
  <si>
    <t>Naishi</t>
  </si>
  <si>
    <t>Nakechickok</t>
  </si>
  <si>
    <t>Namanga</t>
  </si>
  <si>
    <t>Namoya</t>
  </si>
  <si>
    <t>Namunyak</t>
  </si>
  <si>
    <t>Nanyuki Civil</t>
  </si>
  <si>
    <t>Nara Keibane</t>
  </si>
  <si>
    <t>Nariokotome</t>
  </si>
  <si>
    <t>Nasir</t>
  </si>
  <si>
    <t>Ndutu</t>
  </si>
  <si>
    <t>Ngerende KE</t>
  </si>
  <si>
    <t>Ngerengere TZ</t>
  </si>
  <si>
    <t>Ngorinit-South</t>
  </si>
  <si>
    <t>Ngorongoro Crater</t>
  </si>
  <si>
    <t>Ngulia</t>
  </si>
  <si>
    <t>Niafounke</t>
  </si>
  <si>
    <t>Niamey</t>
  </si>
  <si>
    <t>NIGER</t>
  </si>
  <si>
    <t>Nimule</t>
  </si>
  <si>
    <t>Nioro</t>
  </si>
  <si>
    <t>Njombe</t>
  </si>
  <si>
    <t>North Mara</t>
  </si>
  <si>
    <t>North Horr</t>
  </si>
  <si>
    <t>Nyahururu</t>
  </si>
  <si>
    <t>Nyeri</t>
  </si>
  <si>
    <t>Nyunzu</t>
  </si>
  <si>
    <t>Nzara</t>
  </si>
  <si>
    <t>Ol Donyo Waus</t>
  </si>
  <si>
    <t>Ol Jogi</t>
  </si>
  <si>
    <t>Ol Kuruk</t>
  </si>
  <si>
    <t>Ol Maisor</t>
  </si>
  <si>
    <t>Ol Malo</t>
  </si>
  <si>
    <t>Ol Pejeta</t>
  </si>
  <si>
    <t>Ol Seki</t>
  </si>
  <si>
    <t>Olare Orok</t>
  </si>
  <si>
    <t>Olduvai</t>
  </si>
  <si>
    <t>Ole Naishu</t>
  </si>
  <si>
    <t xml:space="preserve">Olkiombo </t>
  </si>
  <si>
    <t>ORLY Airpark</t>
  </si>
  <si>
    <t>Oryx Samburu</t>
  </si>
  <si>
    <t>Oserian</t>
  </si>
  <si>
    <t>Ouagadougou International</t>
  </si>
  <si>
    <t>Ouahigouya</t>
  </si>
  <si>
    <t>Pagak</t>
  </si>
  <si>
    <t>Pai Pai</t>
  </si>
  <si>
    <t>Paloich</t>
  </si>
  <si>
    <t>Pemba</t>
  </si>
  <si>
    <t>Pemba Mozambique International</t>
  </si>
  <si>
    <t>MOZAMBIQUE</t>
  </si>
  <si>
    <t>Pibor</t>
  </si>
  <si>
    <t>Pochalla</t>
  </si>
  <si>
    <t>Pweto</t>
  </si>
  <si>
    <t>Raga</t>
  </si>
  <si>
    <t>Rangers</t>
  </si>
  <si>
    <t>Renk</t>
  </si>
  <si>
    <t>Reteti</t>
  </si>
  <si>
    <t>Rhamu</t>
  </si>
  <si>
    <t>Rhino Base</t>
  </si>
  <si>
    <t>Richards Little camp mara</t>
  </si>
  <si>
    <t>Rocco Olerai</t>
  </si>
  <si>
    <t>Ruaha (Msembe )</t>
  </si>
  <si>
    <t>Rubkona</t>
  </si>
  <si>
    <t>Rukinga</t>
  </si>
  <si>
    <t>Rumbek</t>
  </si>
  <si>
    <t>Rusinga Island</t>
  </si>
  <si>
    <t>Sala Gate</t>
  </si>
  <si>
    <t>Samburu Buffalo Springs</t>
  </si>
  <si>
    <t>Sangare</t>
  </si>
  <si>
    <t>Sarara</t>
  </si>
  <si>
    <t>Sasaab</t>
  </si>
  <si>
    <t>Sasakwa</t>
  </si>
  <si>
    <t>Satao</t>
  </si>
  <si>
    <t>Sedar</t>
  </si>
  <si>
    <t>Segel Marsabit</t>
  </si>
  <si>
    <t>Segera Ranch</t>
  </si>
  <si>
    <t>Sera Kauro</t>
  </si>
  <si>
    <t>Sera Lebi</t>
  </si>
  <si>
    <t>Serena Mara</t>
  </si>
  <si>
    <t>Seronera</t>
  </si>
  <si>
    <t>Shaba</t>
  </si>
  <si>
    <t>Shinyanga</t>
  </si>
  <si>
    <t>Shompole</t>
  </si>
  <si>
    <t>Siana Springs</t>
  </si>
  <si>
    <t>Sibiloi</t>
  </si>
  <si>
    <t>Sikasso</t>
  </si>
  <si>
    <t>Simba Rumaruti</t>
  </si>
  <si>
    <t>Singida</t>
  </si>
  <si>
    <t>Soitik</t>
  </si>
  <si>
    <t>Solio Ranch</t>
  </si>
  <si>
    <t>Songea</t>
  </si>
  <si>
    <t>Sosian</t>
  </si>
  <si>
    <t>South Horr (use Sedar)</t>
  </si>
  <si>
    <t>Soysambu HQ</t>
  </si>
  <si>
    <t>St. Andrews Turi</t>
  </si>
  <si>
    <t>Suiyan</t>
  </si>
  <si>
    <t>Sumbawanga</t>
  </si>
  <si>
    <t>Tabora</t>
  </si>
  <si>
    <t>Taita-Hills Lodge</t>
  </si>
  <si>
    <t>Takabba</t>
  </si>
  <si>
    <t>Tambura</t>
  </si>
  <si>
    <t>Tana River Delta Shikiko</t>
  </si>
  <si>
    <t>Tanga International</t>
  </si>
  <si>
    <t>Tarangire</t>
  </si>
  <si>
    <t>Tarime</t>
  </si>
  <si>
    <t>Tassia</t>
  </si>
  <si>
    <t>Tatu</t>
  </si>
  <si>
    <t>Taveta-Sisal</t>
  </si>
  <si>
    <t>Tawi</t>
  </si>
  <si>
    <t>Tessalit</t>
  </si>
  <si>
    <t>Tharjat</t>
  </si>
  <si>
    <t>Thika</t>
  </si>
  <si>
    <t>Tinderet</t>
  </si>
  <si>
    <t>Tombouctou</t>
  </si>
  <si>
    <t>Tonj</t>
  </si>
  <si>
    <t>Torit</t>
  </si>
  <si>
    <t>TPC Arusha Chini</t>
  </si>
  <si>
    <t>Tum</t>
  </si>
  <si>
    <t>Tura Lei</t>
  </si>
  <si>
    <t>Turi</t>
  </si>
  <si>
    <t>Turkwel Gorge</t>
  </si>
  <si>
    <t>Ukunda Diani</t>
  </si>
  <si>
    <t>Umani Springs</t>
  </si>
  <si>
    <t>Vipingo</t>
  </si>
  <si>
    <t>Voi Park</t>
  </si>
  <si>
    <t>Voi Town</t>
  </si>
  <si>
    <t>Wahgnion</t>
  </si>
  <si>
    <t>Wajid</t>
  </si>
  <si>
    <t>Wajir Military</t>
  </si>
  <si>
    <t>Wamba</t>
  </si>
  <si>
    <t>Wau</t>
  </si>
  <si>
    <t>Webuye</t>
  </si>
  <si>
    <t>West Kilimanjiro</t>
  </si>
  <si>
    <t>Yala Swamp</t>
  </si>
  <si>
    <t>Yambio</t>
  </si>
  <si>
    <t>Yaramoko</t>
  </si>
  <si>
    <t>Yei</t>
  </si>
  <si>
    <t>Yelimane</t>
  </si>
  <si>
    <t>Yida</t>
  </si>
  <si>
    <t>Yirol</t>
  </si>
  <si>
    <t>Yuai</t>
  </si>
  <si>
    <t>Zanzibar International</t>
  </si>
  <si>
    <t>Ziwani Sisal</t>
  </si>
  <si>
    <t>Ziwani-Lodge</t>
  </si>
  <si>
    <t>Lusaka International</t>
  </si>
  <si>
    <t>ZAMBIA</t>
  </si>
  <si>
    <t>MARA</t>
  </si>
  <si>
    <t>LAIKIPIA</t>
  </si>
  <si>
    <t>COAST</t>
  </si>
  <si>
    <t>WESTERN</t>
  </si>
  <si>
    <t>RIFT VALLEY</t>
  </si>
  <si>
    <t>TSAVO EAST</t>
  </si>
  <si>
    <t>TSAVO WEST</t>
  </si>
  <si>
    <t>NFD</t>
  </si>
  <si>
    <t>TURKANA</t>
  </si>
  <si>
    <t>MERU</t>
  </si>
  <si>
    <t>SAMBURU</t>
  </si>
  <si>
    <t>AMBOSELI</t>
  </si>
  <si>
    <t>NAIROBI</t>
  </si>
  <si>
    <t>Mombasa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</si>
</sst>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/>
    <xf numFmtId="0" fontId="2" fillId="0" borderId="0" xfId="0" applyFont="1" applyAlignment="1"/>
    <xf numFmtId="0" fontId="1" fillId="10" borderId="0" xfId="0" applyFont="1" applyFill="1"/>
    <xf numFmtId="0" fontId="1" fillId="12" borderId="0" xfId="0" applyFont="1" applyFill="1"/>
    <xf numFmtId="0" fontId="1" fillId="3" borderId="0" xfId="0" applyFont="1" applyFill="1"/>
    <xf numFmtId="0" fontId="1" fillId="6" borderId="0" xfId="0" applyFont="1" applyFill="1"/>
    <xf numFmtId="0" fontId="1" fillId="8" borderId="0" xfId="0" applyFont="1" applyFill="1"/>
    <xf numFmtId="0" fontId="1" fillId="5" borderId="0" xfId="0" applyFont="1" applyFill="1"/>
    <xf numFmtId="0" fontId="1" fillId="2" borderId="0" xfId="0" applyFont="1" applyFill="1"/>
    <xf numFmtId="0" fontId="1" fillId="9" borderId="0" xfId="0" applyFont="1" applyFill="1"/>
    <xf numFmtId="0" fontId="1" fillId="11" borderId="0" xfId="0" applyFont="1" applyFill="1"/>
    <xf numFmtId="0" fontId="1" fillId="4" borderId="0" xfId="0" applyFont="1" applyFill="1"/>
    <xf numFmtId="0" fontId="1" fillId="7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D245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3</v>
      </c>
      <c r="C3" s="2" t="str">
        <f ca="1">IFERROR(__xludf.DUMMYFUNCTION("FILTER('Airfield List'!A3:A1000, 'Airfield List'!B3:B1000 = B3)"),"Airspray")</f>
        <v>Airspray</v>
      </c>
      <c r="D3" s="2" t="str">
        <f ca="1">IFERROR(__xludf.DUMMYFUNCTION("FILTER(C3:C1000, ISNUMBER(SEARCH(""International"", C3:C1000)))"),"Eldoret International ")</f>
        <v xml:space="preserve">Eldoret International </v>
      </c>
    </row>
    <row r="4" spans="2:4" x14ac:dyDescent="0.2">
      <c r="C4" s="2" t="str">
        <f ca="1">IFERROR(__xludf.DUMMYFUNCTION("""COMPUTED_VALUE"""),"Alia Bay")</f>
        <v>Alia Bay</v>
      </c>
      <c r="D4" s="2" t="str">
        <f ca="1">IFERROR(__xludf.DUMMYFUNCTION("""COMPUTED_VALUE"""),"Kisumu International")</f>
        <v>Kisumu International</v>
      </c>
    </row>
    <row r="5" spans="2:4" x14ac:dyDescent="0.2">
      <c r="C5" s="2" t="str">
        <f ca="1">IFERROR(__xludf.DUMMYFUNCTION("""COMPUTED_VALUE"""),"Amboseli")</f>
        <v>Amboseli</v>
      </c>
      <c r="D5" s="2" t="str">
        <f ca="1">IFERROR(__xludf.DUMMYFUNCTION("""COMPUTED_VALUE"""),"Lokichoggio International")</f>
        <v>Lokichoggio International</v>
      </c>
    </row>
    <row r="6" spans="2:4" x14ac:dyDescent="0.2">
      <c r="C6" s="2" t="str">
        <f ca="1">IFERROR(__xludf.DUMMYFUNCTION("""COMPUTED_VALUE"""),"Angama")</f>
        <v>Angama</v>
      </c>
      <c r="D6" s="2" t="str">
        <f ca="1">IFERROR(__xludf.DUMMYFUNCTION("""COMPUTED_VALUE"""),"Malindi International")</f>
        <v>Malindi International</v>
      </c>
    </row>
    <row r="7" spans="2:4" x14ac:dyDescent="0.2">
      <c r="C7" s="2" t="str">
        <f ca="1">IFERROR(__xludf.DUMMYFUNCTION("""COMPUTED_VALUE"""),"Arroket Sotik")</f>
        <v>Arroket Sotik</v>
      </c>
      <c r="D7" s="2" t="str">
        <f ca="1">IFERROR(__xludf.DUMMYFUNCTION("""COMPUTED_VALUE"""),"Mombasa International")</f>
        <v>Mombasa International</v>
      </c>
    </row>
    <row r="8" spans="2:4" x14ac:dyDescent="0.2">
      <c r="C8" s="2" t="str">
        <f ca="1">IFERROR(__xludf.DUMMYFUNCTION("""COMPUTED_VALUE"""),"Aruba")</f>
        <v>Aruba</v>
      </c>
      <c r="D8" s="2" t="str">
        <f ca="1">IFERROR(__xludf.DUMMYFUNCTION("""COMPUTED_VALUE"""),"Nairobi Jomo Kenyatta International")</f>
        <v>Nairobi Jomo Kenyatta International</v>
      </c>
    </row>
    <row r="9" spans="2:4" x14ac:dyDescent="0.2">
      <c r="C9" s="2" t="str">
        <f ca="1">IFERROR(__xludf.DUMMYFUNCTION("""COMPUTED_VALUE"""),"Bahasi")</f>
        <v>Bahasi</v>
      </c>
      <c r="D9" s="2" t="str">
        <f ca="1">IFERROR(__xludf.DUMMYFUNCTION("""COMPUTED_VALUE"""),"Nairobi Wilson International")</f>
        <v>Nairobi Wilson International</v>
      </c>
    </row>
    <row r="10" spans="2:4" x14ac:dyDescent="0.2">
      <c r="C10" s="2" t="str">
        <f ca="1">IFERROR(__xludf.DUMMYFUNCTION("""COMPUTED_VALUE"""),"Bamburi")</f>
        <v>Bamburi</v>
      </c>
    </row>
    <row r="11" spans="2:4" x14ac:dyDescent="0.2">
      <c r="C11" s="2" t="str">
        <f ca="1">IFERROR(__xludf.DUMMYFUNCTION("""COMPUTED_VALUE"""),"Barclays")</f>
        <v>Barclays</v>
      </c>
    </row>
    <row r="12" spans="2:4" x14ac:dyDescent="0.2">
      <c r="C12" s="2" t="str">
        <f ca="1">IFERROR(__xludf.DUMMYFUNCTION("""COMPUTED_VALUE"""),"Baringo")</f>
        <v>Baringo</v>
      </c>
    </row>
    <row r="13" spans="2:4" x14ac:dyDescent="0.2">
      <c r="C13" s="2" t="str">
        <f ca="1">IFERROR(__xludf.DUMMYFUNCTION("""COMPUTED_VALUE"""),"Bomet")</f>
        <v>Bomet</v>
      </c>
    </row>
    <row r="14" spans="2:4" x14ac:dyDescent="0.2">
      <c r="C14" s="2" t="str">
        <f ca="1">IFERROR(__xludf.DUMMYFUNCTION("""COMPUTED_VALUE"""),"Borana")</f>
        <v>Borana</v>
      </c>
    </row>
    <row r="15" spans="2:4" x14ac:dyDescent="0.2">
      <c r="C15" s="2" t="str">
        <f ca="1">IFERROR(__xludf.DUMMYFUNCTION("""COMPUTED_VALUE"""),"Bungoma")</f>
        <v>Bungoma</v>
      </c>
    </row>
    <row r="16" spans="2:4" x14ac:dyDescent="0.2">
      <c r="C16" s="2" t="str">
        <f ca="1">IFERROR(__xludf.DUMMYFUNCTION("""COMPUTED_VALUE"""),"Campi-Ya-Kanzi")</f>
        <v>Campi-Ya-Kanzi</v>
      </c>
    </row>
    <row r="17" spans="3:3" x14ac:dyDescent="0.2">
      <c r="C17" s="2" t="str">
        <f ca="1">IFERROR(__xludf.DUMMYFUNCTION("""COMPUTED_VALUE"""),"Chaffa")</f>
        <v>Chaffa</v>
      </c>
    </row>
    <row r="18" spans="3:3" x14ac:dyDescent="0.2">
      <c r="C18" s="2" t="str">
        <f ca="1">IFERROR(__xludf.DUMMYFUNCTION("""COMPUTED_VALUE"""),"Chyulu-West")</f>
        <v>Chyulu-West</v>
      </c>
    </row>
    <row r="19" spans="3:3" x14ac:dyDescent="0.2">
      <c r="C19" s="2" t="str">
        <f ca="1">IFERROR(__xludf.DUMMYFUNCTION("""COMPUTED_VALUE"""),"Colcheccio Loisaba")</f>
        <v>Colcheccio Loisaba</v>
      </c>
    </row>
    <row r="20" spans="3:3" x14ac:dyDescent="0.2">
      <c r="C20" s="2" t="str">
        <f ca="1">IFERROR(__xludf.DUMMYFUNCTION("""COMPUTED_VALUE"""),"Congrieve")</f>
        <v>Congrieve</v>
      </c>
    </row>
    <row r="21" spans="3:3" x14ac:dyDescent="0.2">
      <c r="C21" s="2" t="str">
        <f ca="1">IFERROR(__xludf.DUMMYFUNCTION("""COMPUTED_VALUE"""),"Cottars Mara 1920's")</f>
        <v>Cottars Mara 1920's</v>
      </c>
    </row>
    <row r="22" spans="3:3" x14ac:dyDescent="0.2">
      <c r="C22" s="2" t="str">
        <f ca="1">IFERROR(__xludf.DUMMYFUNCTION("""COMPUTED_VALUE"""),"Crocodile Camp")</f>
        <v>Crocodile Camp</v>
      </c>
    </row>
    <row r="23" spans="3:3" x14ac:dyDescent="0.2">
      <c r="C23" s="2" t="str">
        <f ca="1">IFERROR(__xludf.DUMMYFUNCTION("""COMPUTED_VALUE"""),"Dadaab")</f>
        <v>Dadaab</v>
      </c>
    </row>
    <row r="24" spans="3:3" x14ac:dyDescent="0.2">
      <c r="C24" s="2" t="str">
        <f ca="1">IFERROR(__xludf.DUMMYFUNCTION("""COMPUTED_VALUE"""),"Delamere-Camp")</f>
        <v>Delamere-Camp</v>
      </c>
    </row>
    <row r="25" spans="3:3" x14ac:dyDescent="0.2">
      <c r="C25" s="2" t="str">
        <f ca="1">IFERROR(__xludf.DUMMYFUNCTION("""COMPUTED_VALUE"""),"Delemares")</f>
        <v>Delemares</v>
      </c>
    </row>
    <row r="26" spans="3:3" x14ac:dyDescent="0.2">
      <c r="C26" s="2" t="str">
        <f ca="1">IFERROR(__xludf.DUMMYFUNCTION("""COMPUTED_VALUE"""),"DWA Kibwezi")</f>
        <v>DWA Kibwezi</v>
      </c>
    </row>
    <row r="27" spans="3:3" x14ac:dyDescent="0.2">
      <c r="C27" s="2" t="str">
        <f ca="1">IFERROR(__xludf.DUMMYFUNCTION("""COMPUTED_VALUE"""),"Eilye Springs")</f>
        <v>Eilye Springs</v>
      </c>
    </row>
    <row r="28" spans="3:3" x14ac:dyDescent="0.2">
      <c r="C28" s="2" t="str">
        <f ca="1">IFERROR(__xludf.DUMMYFUNCTION("""COMPUTED_VALUE"""),"El Wak")</f>
        <v>El Wak</v>
      </c>
    </row>
    <row r="29" spans="3:3" x14ac:dyDescent="0.2">
      <c r="C29" s="2" t="str">
        <f ca="1">IFERROR(__xludf.DUMMYFUNCTION("""COMPUTED_VALUE"""),"Eldoret International ")</f>
        <v xml:space="preserve">Eldoret International </v>
      </c>
    </row>
    <row r="30" spans="3:3" x14ac:dyDescent="0.2">
      <c r="C30" s="2" t="str">
        <f ca="1">IFERROR(__xludf.DUMMYFUNCTION("""COMPUTED_VALUE"""),"Eldoret-Town")</f>
        <v>Eldoret-Town</v>
      </c>
    </row>
    <row r="31" spans="3:3" x14ac:dyDescent="0.2">
      <c r="C31" s="2" t="str">
        <f ca="1">IFERROR(__xludf.DUMMYFUNCTION("""COMPUTED_VALUE"""),"Elementaita")</f>
        <v>Elementaita</v>
      </c>
    </row>
    <row r="32" spans="3:3" x14ac:dyDescent="0.2">
      <c r="C32" s="2" t="str">
        <f ca="1">IFERROR(__xludf.DUMMYFUNCTION("""COMPUTED_VALUE"""),"Eliye-Springs")</f>
        <v>Eliye-Springs</v>
      </c>
    </row>
    <row r="33" spans="3:3" x14ac:dyDescent="0.2">
      <c r="C33" s="2" t="str">
        <f ca="1">IFERROR(__xludf.DUMMYFUNCTION("""COMPUTED_VALUE"""),"Elkarama-Ranch")</f>
        <v>Elkarama-Ranch</v>
      </c>
    </row>
    <row r="34" spans="3:3" x14ac:dyDescent="0.2">
      <c r="C34" s="2" t="str">
        <f ca="1">IFERROR(__xludf.DUMMYFUNCTION("""COMPUTED_VALUE"""),"Elmentaita")</f>
        <v>Elmentaita</v>
      </c>
    </row>
    <row r="35" spans="3:3" x14ac:dyDescent="0.2">
      <c r="C35" s="2" t="str">
        <f ca="1">IFERROR(__xludf.DUMMYFUNCTION("""COMPUTED_VALUE"""),"Embu")</f>
        <v>Embu</v>
      </c>
    </row>
    <row r="36" spans="3:3" x14ac:dyDescent="0.2">
      <c r="C36" s="2" t="str">
        <f ca="1">IFERROR(__xludf.DUMMYFUNCTION("""COMPUTED_VALUE"""),"Enasoit")</f>
        <v>Enasoit</v>
      </c>
    </row>
    <row r="37" spans="3:3" x14ac:dyDescent="0.2">
      <c r="C37" s="2" t="str">
        <f ca="1">IFERROR(__xludf.DUMMYFUNCTION("""COMPUTED_VALUE"""),"Enasoit")</f>
        <v>Enasoit</v>
      </c>
    </row>
    <row r="38" spans="3:3" x14ac:dyDescent="0.2">
      <c r="C38" s="2" t="str">
        <f ca="1">IFERROR(__xludf.DUMMYFUNCTION("""COMPUTED_VALUE"""),"Engelesha")</f>
        <v>Engelesha</v>
      </c>
    </row>
    <row r="39" spans="3:3" x14ac:dyDescent="0.2">
      <c r="C39" s="2" t="str">
        <f ca="1">IFERROR(__xludf.DUMMYFUNCTION("""COMPUTED_VALUE"""),"Farmland")</f>
        <v>Farmland</v>
      </c>
    </row>
    <row r="40" spans="3:3" x14ac:dyDescent="0.2">
      <c r="C40" s="2" t="str">
        <f ca="1">IFERROR(__xludf.DUMMYFUNCTION("""COMPUTED_VALUE"""),"Finch Hattons")</f>
        <v>Finch Hattons</v>
      </c>
    </row>
    <row r="41" spans="3:3" x14ac:dyDescent="0.2">
      <c r="C41" s="2" t="str">
        <f ca="1">IFERROR(__xludf.DUMMYFUNCTION("""COMPUTED_VALUE"""),"Finley Marinyn Kericho")</f>
        <v>Finley Marinyn Kericho</v>
      </c>
    </row>
    <row r="42" spans="3:3" x14ac:dyDescent="0.2">
      <c r="C42" s="2" t="str">
        <f ca="1">IFERROR(__xludf.DUMMYFUNCTION("""COMPUTED_VALUE"""),"Flourspar")</f>
        <v>Flourspar</v>
      </c>
    </row>
    <row r="43" spans="3:3" x14ac:dyDescent="0.2">
      <c r="C43" s="2" t="str">
        <f ca="1">IFERROR(__xludf.DUMMYFUNCTION("""COMPUTED_VALUE"""),"Funzi")</f>
        <v>Funzi</v>
      </c>
    </row>
    <row r="44" spans="3:3" x14ac:dyDescent="0.2">
      <c r="C44" s="2" t="str">
        <f ca="1">IFERROR(__xludf.DUMMYFUNCTION("""COMPUTED_VALUE"""),"Galdessa")</f>
        <v>Galdessa</v>
      </c>
    </row>
    <row r="45" spans="3:3" x14ac:dyDescent="0.2">
      <c r="C45" s="2" t="str">
        <f ca="1">IFERROR(__xludf.DUMMYFUNCTION("""COMPUTED_VALUE"""),"Garissa")</f>
        <v>Garissa</v>
      </c>
    </row>
    <row r="46" spans="3:3" x14ac:dyDescent="0.2">
      <c r="C46" s="2" t="str">
        <f ca="1">IFERROR(__xludf.DUMMYFUNCTION("""COMPUTED_VALUE"""),"Garsen")</f>
        <v>Garsen</v>
      </c>
    </row>
    <row r="47" spans="3:3" x14ac:dyDescent="0.2">
      <c r="C47" s="2" t="str">
        <f ca="1">IFERROR(__xludf.DUMMYFUNCTION("""COMPUTED_VALUE"""),"Gilgil - Barlows")</f>
        <v>Gilgil - Barlows</v>
      </c>
    </row>
    <row r="48" spans="3:3" x14ac:dyDescent="0.2">
      <c r="C48" s="2" t="str">
        <f ca="1">IFERROR(__xludf.DUMMYFUNCTION("""COMPUTED_VALUE"""),"Gogar Farm")</f>
        <v>Gogar Farm</v>
      </c>
    </row>
    <row r="49" spans="3:3" x14ac:dyDescent="0.2">
      <c r="C49" s="2" t="str">
        <f ca="1">IFERROR(__xludf.DUMMYFUNCTION("""COMPUTED_VALUE"""),"Greenpark")</f>
        <v>Greenpark</v>
      </c>
    </row>
    <row r="50" spans="3:3" x14ac:dyDescent="0.2">
      <c r="C50" s="2" t="str">
        <f ca="1">IFERROR(__xludf.DUMMYFUNCTION("""COMPUTED_VALUE"""),"Habaswein")</f>
        <v>Habaswein</v>
      </c>
    </row>
    <row r="51" spans="3:3" x14ac:dyDescent="0.2">
      <c r="C51" s="2" t="str">
        <f ca="1">IFERROR(__xludf.DUMMYFUNCTION("""COMPUTED_VALUE"""),"Hola")</f>
        <v>Hola</v>
      </c>
    </row>
    <row r="52" spans="3:3" x14ac:dyDescent="0.2">
      <c r="C52" s="2" t="str">
        <f ca="1">IFERROR(__xludf.DUMMYFUNCTION("""COMPUTED_VALUE"""),"Homa Bay")</f>
        <v>Homa Bay</v>
      </c>
    </row>
    <row r="53" spans="3:3" x14ac:dyDescent="0.2">
      <c r="C53" s="2" t="str">
        <f ca="1">IFERROR(__xludf.DUMMYFUNCTION("""COMPUTED_VALUE"""),"Ibis")</f>
        <v>Ibis</v>
      </c>
    </row>
    <row r="54" spans="3:3" x14ac:dyDescent="0.2">
      <c r="C54" s="2" t="str">
        <f ca="1">IFERROR(__xludf.DUMMYFUNCTION("""COMPUTED_VALUE"""),"Ilangwesi")</f>
        <v>Ilangwesi</v>
      </c>
    </row>
    <row r="55" spans="3:3" x14ac:dyDescent="0.2">
      <c r="C55" s="2" t="str">
        <f ca="1">IFERROR(__xludf.DUMMYFUNCTION("""COMPUTED_VALUE"""),"Ileret-Main")</f>
        <v>Ileret-Main</v>
      </c>
    </row>
    <row r="56" spans="3:3" x14ac:dyDescent="0.2">
      <c r="C56" s="2" t="str">
        <f ca="1">IFERROR(__xludf.DUMMYFUNCTION("""COMPUTED_VALUE"""),"Isiolo")</f>
        <v>Isiolo</v>
      </c>
    </row>
    <row r="57" spans="3:3" x14ac:dyDescent="0.2">
      <c r="C57" s="2" t="str">
        <f ca="1">IFERROR(__xludf.DUMMYFUNCTION("""COMPUTED_VALUE"""),"Iskushuban")</f>
        <v>Iskushuban</v>
      </c>
    </row>
    <row r="58" spans="3:3" x14ac:dyDescent="0.2">
      <c r="C58" s="2" t="str">
        <f ca="1">IFERROR(__xludf.DUMMYFUNCTION("""COMPUTED_VALUE"""),"Ithumba")</f>
        <v>Ithumba</v>
      </c>
    </row>
    <row r="59" spans="3:3" x14ac:dyDescent="0.2">
      <c r="C59" s="2" t="str">
        <f ca="1">IFERROR(__xludf.DUMMYFUNCTION("""COMPUTED_VALUE"""),"Kabarak")</f>
        <v>Kabarak</v>
      </c>
    </row>
    <row r="60" spans="3:3" x14ac:dyDescent="0.2">
      <c r="C60" s="2" t="str">
        <f ca="1">IFERROR(__xludf.DUMMYFUNCTION("""COMPUTED_VALUE"""),"Kabarnet")</f>
        <v>Kabarnet</v>
      </c>
    </row>
    <row r="61" spans="3:3" x14ac:dyDescent="0.2">
      <c r="C61" s="2" t="str">
        <f ca="1">IFERROR(__xludf.DUMMYFUNCTION("""COMPUTED_VALUE"""),"Kakamega")</f>
        <v>Kakamega</v>
      </c>
    </row>
    <row r="62" spans="3:3" x14ac:dyDescent="0.2">
      <c r="C62" s="2" t="str">
        <f ca="1">IFERROR(__xludf.DUMMYFUNCTION("""COMPUTED_VALUE"""),"Kakuma")</f>
        <v>Kakuma</v>
      </c>
    </row>
    <row r="63" spans="3:3" x14ac:dyDescent="0.2">
      <c r="C63" s="2" t="str">
        <f ca="1">IFERROR(__xludf.DUMMYFUNCTION("""COMPUTED_VALUE"""),"Kalacha south")</f>
        <v>Kalacha south</v>
      </c>
    </row>
    <row r="64" spans="3:3" x14ac:dyDescent="0.2">
      <c r="C64" s="2" t="str">
        <f ca="1">IFERROR(__xludf.DUMMYFUNCTION("""COMPUTED_VALUE"""),"Kalama")</f>
        <v>Kalama</v>
      </c>
    </row>
    <row r="65" spans="3:3" x14ac:dyDescent="0.2">
      <c r="C65" s="2" t="str">
        <f ca="1">IFERROR(__xludf.DUMMYFUNCTION("""COMPUTED_VALUE"""),"Kaluku")</f>
        <v>Kaluku</v>
      </c>
    </row>
    <row r="66" spans="3:3" x14ac:dyDescent="0.2">
      <c r="C66" s="2" t="str">
        <f ca="1">IFERROR(__xludf.DUMMYFUNCTION("""COMPUTED_VALUE"""),"Kamanga")</f>
        <v>Kamanga</v>
      </c>
    </row>
    <row r="67" spans="3:3" x14ac:dyDescent="0.2">
      <c r="C67" s="2" t="str">
        <f ca="1">IFERROR(__xludf.DUMMYFUNCTION("""COMPUTED_VALUE"""),"Kamboyo")</f>
        <v>Kamboyo</v>
      </c>
    </row>
    <row r="68" spans="3:3" x14ac:dyDescent="0.2">
      <c r="C68" s="2" t="str">
        <f ca="1">IFERROR(__xludf.DUMMYFUNCTION("""COMPUTED_VALUE"""),"Kamogi")</f>
        <v>Kamogi</v>
      </c>
    </row>
    <row r="69" spans="3:3" x14ac:dyDescent="0.2">
      <c r="C69" s="2" t="str">
        <f ca="1">IFERROR(__xludf.DUMMYFUNCTION("""COMPUTED_VALUE"""),"Kampi Ya Kanzi")</f>
        <v>Kampi Ya Kanzi</v>
      </c>
    </row>
    <row r="70" spans="3:3" x14ac:dyDescent="0.2">
      <c r="C70" s="2" t="str">
        <f ca="1">IFERROR(__xludf.DUMMYFUNCTION("""COMPUTED_VALUE"""),"Kamwaki Ole Naishu")</f>
        <v>Kamwaki Ole Naishu</v>
      </c>
    </row>
    <row r="71" spans="3:3" x14ac:dyDescent="0.2">
      <c r="C71" s="2" t="str">
        <f ca="1">IFERROR(__xludf.DUMMYFUNCTION("""COMPUTED_VALUE"""),"Kapese")</f>
        <v>Kapese</v>
      </c>
    </row>
    <row r="72" spans="3:3" x14ac:dyDescent="0.2">
      <c r="C72" s="2" t="str">
        <f ca="1">IFERROR(__xludf.DUMMYFUNCTION("""COMPUTED_VALUE"""),"Kapsabet")</f>
        <v>Kapsabet</v>
      </c>
    </row>
    <row r="73" spans="3:3" x14ac:dyDescent="0.2">
      <c r="C73" s="2" t="str">
        <f ca="1">IFERROR(__xludf.DUMMYFUNCTION("""COMPUTED_VALUE"""),"Kapsambewea")</f>
        <v>Kapsambewea</v>
      </c>
    </row>
    <row r="74" spans="3:3" x14ac:dyDescent="0.2">
      <c r="C74" s="2" t="str">
        <f ca="1">IFERROR(__xludf.DUMMYFUNCTION("""COMPUTED_VALUE"""),"Keekerok")</f>
        <v>Keekerok</v>
      </c>
    </row>
    <row r="75" spans="3:3" x14ac:dyDescent="0.2">
      <c r="C75" s="2" t="str">
        <f ca="1">IFERROR(__xludf.DUMMYFUNCTION("""COMPUTED_VALUE"""),"Kericho Marinyn")</f>
        <v>Kericho Marinyn</v>
      </c>
    </row>
    <row r="76" spans="3:3" x14ac:dyDescent="0.2">
      <c r="C76" s="2" t="str">
        <f ca="1">IFERROR(__xludf.DUMMYFUNCTION("""COMPUTED_VALUE"""),"Khoraf Harar")</f>
        <v>Khoraf Harar</v>
      </c>
    </row>
    <row r="77" spans="3:3" x14ac:dyDescent="0.2">
      <c r="C77" s="2" t="str">
        <f ca="1">IFERROR(__xludf.DUMMYFUNCTION("""COMPUTED_VALUE"""),"Kichwa Tembo")</f>
        <v>Kichwa Tembo</v>
      </c>
    </row>
    <row r="78" spans="3:3" x14ac:dyDescent="0.2">
      <c r="C78" s="2" t="str">
        <f ca="1">IFERROR(__xludf.DUMMYFUNCTION("""COMPUTED_VALUE"""),"Kifuku Estate")</f>
        <v>Kifuku Estate</v>
      </c>
    </row>
    <row r="79" spans="3:3" x14ac:dyDescent="0.2">
      <c r="C79" s="2" t="str">
        <f ca="1">IFERROR(__xludf.DUMMYFUNCTION("""COMPUTED_VALUE"""),"Kijipwa")</f>
        <v>Kijipwa</v>
      </c>
    </row>
    <row r="80" spans="3:3" x14ac:dyDescent="0.2">
      <c r="C80" s="2" t="str">
        <f ca="1">IFERROR(__xludf.DUMMYFUNCTION("""COMPUTED_VALUE"""),"Kilalinda")</f>
        <v>Kilalinda</v>
      </c>
    </row>
    <row r="81" spans="3:3" x14ac:dyDescent="0.2">
      <c r="C81" s="2" t="str">
        <f ca="1">IFERROR(__xludf.DUMMYFUNCTION("""COMPUTED_VALUE"""),"Kilanguni")</f>
        <v>Kilanguni</v>
      </c>
    </row>
    <row r="82" spans="3:3" x14ac:dyDescent="0.2">
      <c r="C82" s="2" t="str">
        <f ca="1">IFERROR(__xludf.DUMMYFUNCTION("""COMPUTED_VALUE"""),"Kili-Buffalo")</f>
        <v>Kili-Buffalo</v>
      </c>
    </row>
    <row r="83" spans="3:3" x14ac:dyDescent="0.2">
      <c r="C83" s="2" t="str">
        <f ca="1">IFERROR(__xludf.DUMMYFUNCTION("""COMPUTED_VALUE"""),"Kilifi-Mnarani")</f>
        <v>Kilifi-Mnarani</v>
      </c>
    </row>
    <row r="84" spans="3:3" x14ac:dyDescent="0.2">
      <c r="C84" s="2" t="str">
        <f ca="1">IFERROR(__xludf.DUMMYFUNCTION("""COMPUTED_VALUE"""),"Kimana")</f>
        <v>Kimana</v>
      </c>
    </row>
    <row r="85" spans="3:3" x14ac:dyDescent="0.2">
      <c r="C85" s="2" t="str">
        <f ca="1">IFERROR(__xludf.DUMMYFUNCTION("""COMPUTED_VALUE"""),"Kimanju/ Ole Lendille")</f>
        <v>Kimanju/ Ole Lendille</v>
      </c>
    </row>
    <row r="86" spans="3:3" x14ac:dyDescent="0.2">
      <c r="C86" s="2" t="str">
        <f ca="1">IFERROR(__xludf.DUMMYFUNCTION("""COMPUTED_VALUE"""),"Kinna")</f>
        <v>Kinna</v>
      </c>
    </row>
    <row r="87" spans="3:3" x14ac:dyDescent="0.2">
      <c r="C87" s="2" t="str">
        <f ca="1">IFERROR(__xludf.DUMMYFUNCTION("""COMPUTED_VALUE"""),"Kisii Suneka")</f>
        <v>Kisii Suneka</v>
      </c>
    </row>
    <row r="88" spans="3:3" x14ac:dyDescent="0.2">
      <c r="C88" s="2" t="str">
        <f ca="1">IFERROR(__xludf.DUMMYFUNCTION("""COMPUTED_VALUE"""),"Kisima Timau")</f>
        <v>Kisima Timau</v>
      </c>
    </row>
    <row r="89" spans="3:3" x14ac:dyDescent="0.2">
      <c r="C89" s="2" t="str">
        <f ca="1">IFERROR(__xludf.DUMMYFUNCTION("""COMPUTED_VALUE"""),"Kisumu International")</f>
        <v>Kisumu International</v>
      </c>
    </row>
    <row r="90" spans="3:3" x14ac:dyDescent="0.2">
      <c r="C90" s="2" t="str">
        <f ca="1">IFERROR(__xludf.DUMMYFUNCTION("""COMPUTED_VALUE"""),"Kitale")</f>
        <v>Kitale</v>
      </c>
    </row>
    <row r="91" spans="3:3" x14ac:dyDescent="0.2">
      <c r="C91" s="2" t="str">
        <f ca="1">IFERROR(__xludf.DUMMYFUNCTION("""COMPUTED_VALUE"""),"Kithaysu Umani Springs")</f>
        <v>Kithaysu Umani Springs</v>
      </c>
    </row>
    <row r="92" spans="3:3" x14ac:dyDescent="0.2">
      <c r="C92" s="2" t="str">
        <f ca="1">IFERROR(__xludf.DUMMYFUNCTION("""COMPUTED_VALUE"""),"Kitich Camp")</f>
        <v>Kitich Camp</v>
      </c>
    </row>
    <row r="93" spans="3:3" x14ac:dyDescent="0.2">
      <c r="C93" s="2" t="str">
        <f ca="1">IFERROR(__xludf.DUMMYFUNCTION("""COMPUTED_VALUE"""),"Kitui")</f>
        <v>Kitui</v>
      </c>
    </row>
    <row r="94" spans="3:3" x14ac:dyDescent="0.2">
      <c r="C94" s="2" t="str">
        <f ca="1">IFERROR(__xludf.DUMMYFUNCTION("""COMPUTED_VALUE"""),"Kiwayu")</f>
        <v>Kiwayu</v>
      </c>
    </row>
    <row r="95" spans="3:3" x14ac:dyDescent="0.2">
      <c r="C95" s="2" t="str">
        <f ca="1">IFERROR(__xludf.DUMMYFUNCTION("""COMPUTED_VALUE"""),"Komok")</f>
        <v>Komok</v>
      </c>
    </row>
    <row r="96" spans="3:3" x14ac:dyDescent="0.2">
      <c r="C96" s="2" t="str">
        <f ca="1">IFERROR(__xludf.DUMMYFUNCTION("""COMPUTED_VALUE"""),"Koobi Fora")</f>
        <v>Koobi Fora</v>
      </c>
    </row>
    <row r="97" spans="3:3" x14ac:dyDescent="0.2">
      <c r="C97" s="2" t="str">
        <f ca="1">IFERROR(__xludf.DUMMYFUNCTION("""COMPUTED_VALUE"""),"Kora")</f>
        <v>Kora</v>
      </c>
    </row>
    <row r="98" spans="3:3" x14ac:dyDescent="0.2">
      <c r="C98" s="2" t="str">
        <f ca="1">IFERROR(__xludf.DUMMYFUNCTION("""COMPUTED_VALUE"""),"Koros use Sedar?")</f>
        <v>Koros use Sedar?</v>
      </c>
    </row>
    <row r="99" spans="3:3" x14ac:dyDescent="0.2">
      <c r="C99" s="2" t="str">
        <f ca="1">IFERROR(__xludf.DUMMYFUNCTION("""COMPUTED_VALUE"""),"Kowop")</f>
        <v>Kowop</v>
      </c>
    </row>
    <row r="100" spans="3:3" x14ac:dyDescent="0.2">
      <c r="C100" s="2" t="str">
        <f ca="1">IFERROR(__xludf.DUMMYFUNCTION("""COMPUTED_VALUE"""),"Kulalu")</f>
        <v>Kulalu</v>
      </c>
    </row>
    <row r="101" spans="3:3" x14ac:dyDescent="0.2">
      <c r="C101" s="2" t="str">
        <f ca="1">IFERROR(__xludf.DUMMYFUNCTION("""COMPUTED_VALUE"""),"Kuti")</f>
        <v>Kuti</v>
      </c>
    </row>
    <row r="102" spans="3:3" x14ac:dyDescent="0.2">
      <c r="C102" s="2" t="str">
        <f ca="1">IFERROR(__xludf.DUMMYFUNCTION("""COMPUTED_VALUE"""),"Laikipia Ranch")</f>
        <v>Laikipia Ranch</v>
      </c>
    </row>
    <row r="103" spans="3:3" x14ac:dyDescent="0.2">
      <c r="C103" s="2" t="str">
        <f ca="1">IFERROR(__xludf.DUMMYFUNCTION("""COMPUTED_VALUE"""),"Lake Jipe")</f>
        <v>Lake Jipe</v>
      </c>
    </row>
    <row r="104" spans="3:3" x14ac:dyDescent="0.2">
      <c r="C104" s="2" t="str">
        <f ca="1">IFERROR(__xludf.DUMMYFUNCTION("""COMPUTED_VALUE"""),"Lamu")</f>
        <v>Lamu</v>
      </c>
    </row>
    <row r="105" spans="3:3" x14ac:dyDescent="0.2">
      <c r="C105" s="2" t="str">
        <f ca="1">IFERROR(__xludf.DUMMYFUNCTION("""COMPUTED_VALUE"""),"Lamu Manda Point ")</f>
        <v xml:space="preserve">Lamu Manda Point </v>
      </c>
    </row>
    <row r="106" spans="3:3" x14ac:dyDescent="0.2">
      <c r="C106" s="2" t="str">
        <f ca="1">IFERROR(__xludf.DUMMYFUNCTION("""COMPUTED_VALUE"""),"Lanet-Prairies")</f>
        <v>Lanet-Prairies</v>
      </c>
    </row>
    <row r="107" spans="3:3" x14ac:dyDescent="0.2">
      <c r="C107" s="2" t="str">
        <f ca="1">IFERROR(__xludf.DUMMYFUNCTION("""COMPUTED_VALUE"""),"Lendille Kimanju")</f>
        <v>Lendille Kimanju</v>
      </c>
    </row>
    <row r="108" spans="3:3" x14ac:dyDescent="0.2">
      <c r="C108" s="2" t="str">
        <f ca="1">IFERROR(__xludf.DUMMYFUNCTION("""COMPUTED_VALUE"""),"Lewa Downs")</f>
        <v>Lewa Downs</v>
      </c>
    </row>
    <row r="109" spans="3:3" x14ac:dyDescent="0.2">
      <c r="C109" s="2" t="str">
        <f ca="1">IFERROR(__xludf.DUMMYFUNCTION("""COMPUTED_VALUE"""),"Liboi")</f>
        <v>Liboi</v>
      </c>
    </row>
    <row r="110" spans="3:3" x14ac:dyDescent="0.2">
      <c r="C110" s="2" t="str">
        <f ca="1">IFERROR(__xludf.DUMMYFUNCTION("""COMPUTED_VALUE"""),"Lodwar")</f>
        <v>Lodwar</v>
      </c>
    </row>
    <row r="111" spans="3:3" x14ac:dyDescent="0.2">
      <c r="C111" s="2" t="str">
        <f ca="1">IFERROR(__xludf.DUMMYFUNCTION("""COMPUTED_VALUE"""),"Loisaba")</f>
        <v>Loisaba</v>
      </c>
    </row>
    <row r="112" spans="3:3" x14ac:dyDescent="0.2">
      <c r="C112" s="2" t="str">
        <f ca="1">IFERROR(__xludf.DUMMYFUNCTION("""COMPUTED_VALUE"""),"Loitokitok")</f>
        <v>Loitokitok</v>
      </c>
    </row>
    <row r="113" spans="3:3" x14ac:dyDescent="0.2">
      <c r="C113" s="2" t="str">
        <f ca="1">IFERROR(__xludf.DUMMYFUNCTION("""COMPUTED_VALUE"""),"Loiyangalani")</f>
        <v>Loiyangalani</v>
      </c>
    </row>
    <row r="114" spans="3:3" x14ac:dyDescent="0.2">
      <c r="C114" s="2" t="str">
        <f ca="1">IFERROR(__xludf.DUMMYFUNCTION("""COMPUTED_VALUE"""),"Lokichar")</f>
        <v>Lokichar</v>
      </c>
    </row>
    <row r="115" spans="3:3" x14ac:dyDescent="0.2">
      <c r="C115" s="2" t="str">
        <f ca="1">IFERROR(__xludf.DUMMYFUNCTION("""COMPUTED_VALUE"""),"Lokichoggio International")</f>
        <v>Lokichoggio International</v>
      </c>
    </row>
    <row r="116" spans="3:3" x14ac:dyDescent="0.2">
      <c r="C116" s="2" t="str">
        <f ca="1">IFERROR(__xludf.DUMMYFUNCTION("""COMPUTED_VALUE"""),"Lokitaung")</f>
        <v>Lokitaung</v>
      </c>
    </row>
    <row r="117" spans="3:3" x14ac:dyDescent="0.2">
      <c r="C117" s="2" t="str">
        <f ca="1">IFERROR(__xludf.DUMMYFUNCTION("""COMPUTED_VALUE"""),"Loldia")</f>
        <v>Loldia</v>
      </c>
    </row>
    <row r="118" spans="3:3" x14ac:dyDescent="0.2">
      <c r="C118" s="2" t="str">
        <f ca="1">IFERROR(__xludf.DUMMYFUNCTION("""COMPUTED_VALUE"""),"Lolomarik")</f>
        <v>Lolomarik</v>
      </c>
    </row>
    <row r="119" spans="3:3" x14ac:dyDescent="0.2">
      <c r="C119" s="2" t="str">
        <f ca="1">IFERROR(__xludf.DUMMYFUNCTION("""COMPUTED_VALUE"""),"Lugards-Falls South")</f>
        <v>Lugards-Falls South</v>
      </c>
    </row>
    <row r="120" spans="3:3" x14ac:dyDescent="0.2">
      <c r="C120" s="2" t="str">
        <f ca="1">IFERROR(__xludf.DUMMYFUNCTION("""COMPUTED_VALUE"""),"Magadi")</f>
        <v>Magadi</v>
      </c>
    </row>
    <row r="121" spans="3:3" x14ac:dyDescent="0.2">
      <c r="C121" s="2" t="str">
        <f ca="1">IFERROR(__xludf.DUMMYFUNCTION("""COMPUTED_VALUE"""),"Magogoni (NAVY)")</f>
        <v>Magogoni (NAVY)</v>
      </c>
    </row>
    <row r="122" spans="3:3" x14ac:dyDescent="0.2">
      <c r="C122" s="2" t="str">
        <f ca="1">IFERROR(__xludf.DUMMYFUNCTION("""COMPUTED_VALUE"""),"Makindu")</f>
        <v>Makindu</v>
      </c>
    </row>
    <row r="123" spans="3:3" x14ac:dyDescent="0.2">
      <c r="C123" s="2" t="str">
        <f ca="1">IFERROR(__xludf.DUMMYFUNCTION("""COMPUTED_VALUE"""),"Maktau Gate")</f>
        <v>Maktau Gate</v>
      </c>
    </row>
    <row r="124" spans="3:3" x14ac:dyDescent="0.2">
      <c r="C124" s="2" t="str">
        <f ca="1">IFERROR(__xludf.DUMMYFUNCTION("""COMPUTED_VALUE"""),"Malinda")</f>
        <v>Malinda</v>
      </c>
    </row>
    <row r="125" spans="3:3" x14ac:dyDescent="0.2">
      <c r="C125" s="2" t="str">
        <f ca="1">IFERROR(__xludf.DUMMYFUNCTION("""COMPUTED_VALUE"""),"Malindi International")</f>
        <v>Malindi International</v>
      </c>
    </row>
    <row r="126" spans="3:3" x14ac:dyDescent="0.2">
      <c r="C126" s="2" t="str">
        <f ca="1">IFERROR(__xludf.DUMMYFUNCTION("""COMPUTED_VALUE"""),"Manda Point")</f>
        <v>Manda Point</v>
      </c>
    </row>
    <row r="127" spans="3:3" x14ac:dyDescent="0.2">
      <c r="C127" s="2" t="str">
        <f ca="1">IFERROR(__xludf.DUMMYFUNCTION("""COMPUTED_VALUE"""),"Mandera")</f>
        <v>Mandera</v>
      </c>
    </row>
    <row r="128" spans="3:3" x14ac:dyDescent="0.2">
      <c r="C128" s="2" t="str">
        <f ca="1">IFERROR(__xludf.DUMMYFUNCTION("""COMPUTED_VALUE"""),"Manyani")</f>
        <v>Manyani</v>
      </c>
    </row>
    <row r="129" spans="3:3" x14ac:dyDescent="0.2">
      <c r="C129" s="2" t="str">
        <f ca="1">IFERROR(__xludf.DUMMYFUNCTION("""COMPUTED_VALUE"""),"Mara North")</f>
        <v>Mara North</v>
      </c>
    </row>
    <row r="130" spans="3:3" x14ac:dyDescent="0.2">
      <c r="C130" s="2" t="str">
        <f ca="1">IFERROR(__xludf.DUMMYFUNCTION("""COMPUTED_VALUE"""),"Mara Serena ")</f>
        <v xml:space="preserve">Mara Serena </v>
      </c>
    </row>
    <row r="131" spans="3:3" x14ac:dyDescent="0.2">
      <c r="C131" s="2" t="str">
        <f ca="1">IFERROR(__xludf.DUMMYFUNCTION("""COMPUTED_VALUE"""),"Mara Shikar")</f>
        <v>Mara Shikar</v>
      </c>
    </row>
    <row r="132" spans="3:3" x14ac:dyDescent="0.2">
      <c r="C132" s="2" t="str">
        <f ca="1">IFERROR(__xludf.DUMMYFUNCTION("""COMPUTED_VALUE"""),"Maralal Kisima")</f>
        <v>Maralal Kisima</v>
      </c>
    </row>
    <row r="133" spans="3:3" x14ac:dyDescent="0.2">
      <c r="C133" s="2" t="str">
        <f ca="1">IFERROR(__xludf.DUMMYFUNCTION("""COMPUTED_VALUE"""),"Marania")</f>
        <v>Marania</v>
      </c>
    </row>
    <row r="134" spans="3:3" x14ac:dyDescent="0.2">
      <c r="C134" s="2" t="str">
        <f ca="1">IFERROR(__xludf.DUMMYFUNCTION("""COMPUTED_VALUE"""),"Marinyn")</f>
        <v>Marinyn</v>
      </c>
    </row>
    <row r="135" spans="3:3" x14ac:dyDescent="0.2">
      <c r="C135" s="2" t="str">
        <f ca="1">IFERROR(__xludf.DUMMYFUNCTION("""COMPUTED_VALUE"""),"Marsabit")</f>
        <v>Marsabit</v>
      </c>
    </row>
    <row r="136" spans="3:3" x14ac:dyDescent="0.2">
      <c r="C136" s="2" t="str">
        <f ca="1">IFERROR(__xludf.DUMMYFUNCTION("""COMPUTED_VALUE"""),"Mbaruk")</f>
        <v>Mbaruk</v>
      </c>
    </row>
    <row r="137" spans="3:3" x14ac:dyDescent="0.2">
      <c r="C137" s="2" t="str">
        <f ca="1">IFERROR(__xludf.DUMMYFUNCTION("""COMPUTED_VALUE"""),"Mbirikani")</f>
        <v>Mbirikani</v>
      </c>
    </row>
    <row r="138" spans="3:3" x14ac:dyDescent="0.2">
      <c r="C138" s="2" t="str">
        <f ca="1">IFERROR(__xludf.DUMMYFUNCTION("""COMPUTED_VALUE"""),"Menengai")</f>
        <v>Menengai</v>
      </c>
    </row>
    <row r="139" spans="3:3" x14ac:dyDescent="0.2">
      <c r="C139" s="2" t="str">
        <f ca="1">IFERROR(__xludf.DUMMYFUNCTION("""COMPUTED_VALUE"""),"Meru Kinna")</f>
        <v>Meru Kinna</v>
      </c>
    </row>
    <row r="140" spans="3:3" x14ac:dyDescent="0.2">
      <c r="C140" s="2" t="str">
        <f ca="1">IFERROR(__xludf.DUMMYFUNCTION("""COMPUTED_VALUE"""),"Meru-Mulika lodge")</f>
        <v>Meru-Mulika lodge</v>
      </c>
    </row>
    <row r="141" spans="3:3" x14ac:dyDescent="0.2">
      <c r="C141" s="2" t="str">
        <f ca="1">IFERROR(__xludf.DUMMYFUNCTION("""COMPUTED_VALUE"""),"Migori")</f>
        <v>Migori</v>
      </c>
    </row>
    <row r="142" spans="3:3" x14ac:dyDescent="0.2">
      <c r="C142" s="2" t="str">
        <f ca="1">IFERROR(__xludf.DUMMYFUNCTION("""COMPUTED_VALUE"""),"Milgis")</f>
        <v>Milgis</v>
      </c>
    </row>
    <row r="143" spans="3:3" x14ac:dyDescent="0.2">
      <c r="C143" s="2" t="str">
        <f ca="1">IFERROR(__xludf.DUMMYFUNCTION("""COMPUTED_VALUE"""),"Milmet")</f>
        <v>Milmet</v>
      </c>
    </row>
    <row r="144" spans="3:3" x14ac:dyDescent="0.2">
      <c r="C144" s="2" t="str">
        <f ca="1">IFERROR(__xludf.DUMMYFUNCTION("""COMPUTED_VALUE"""),"Mkowe Lamu Mainland")</f>
        <v>Mkowe Lamu Mainland</v>
      </c>
    </row>
    <row r="145" spans="3:3" x14ac:dyDescent="0.2">
      <c r="C145" s="2" t="str">
        <f ca="1">IFERROR(__xludf.DUMMYFUNCTION("""COMPUTED_VALUE"""),"Mogwooni")</f>
        <v>Mogwooni</v>
      </c>
    </row>
    <row r="146" spans="3:3" x14ac:dyDescent="0.2">
      <c r="C146" s="2" t="str">
        <f ca="1">IFERROR(__xludf.DUMMYFUNCTION("""COMPUTED_VALUE"""),"Mombasa International")</f>
        <v>Mombasa International</v>
      </c>
    </row>
    <row r="147" spans="3:3" x14ac:dyDescent="0.2">
      <c r="C147" s="2" t="str">
        <f ca="1">IFERROR(__xludf.DUMMYFUNCTION("""COMPUTED_VALUE"""),"Mount Kenya Safari Club")</f>
        <v>Mount Kenya Safari Club</v>
      </c>
    </row>
    <row r="148" spans="3:3" x14ac:dyDescent="0.2">
      <c r="C148" s="2" t="str">
        <f ca="1">IFERROR(__xludf.DUMMYFUNCTION("""COMPUTED_VALUE"""),"Moyale Lower")</f>
        <v>Moyale Lower</v>
      </c>
    </row>
    <row r="149" spans="3:3" x14ac:dyDescent="0.2">
      <c r="C149" s="2" t="str">
        <f ca="1">IFERROR(__xludf.DUMMYFUNCTION("""COMPUTED_VALUE"""),"Mpala Farm")</f>
        <v>Mpala Farm</v>
      </c>
    </row>
    <row r="150" spans="3:3" x14ac:dyDescent="0.2">
      <c r="C150" s="2" t="str">
        <f ca="1">IFERROR(__xludf.DUMMYFUNCTION("""COMPUTED_VALUE"""),"Mt Elgon Orchard")</f>
        <v>Mt Elgon Orchard</v>
      </c>
    </row>
    <row r="151" spans="3:3" x14ac:dyDescent="0.2">
      <c r="C151" s="2" t="str">
        <f ca="1">IFERROR(__xludf.DUMMYFUNCTION("""COMPUTED_VALUE"""),"Mtito Andei")</f>
        <v>Mtito Andei</v>
      </c>
    </row>
    <row r="152" spans="3:3" x14ac:dyDescent="0.2">
      <c r="C152" s="2" t="str">
        <f ca="1">IFERROR(__xludf.DUMMYFUNCTION("""COMPUTED_VALUE"""),"Mugie")</f>
        <v>Mugie</v>
      </c>
    </row>
    <row r="153" spans="3:3" x14ac:dyDescent="0.2">
      <c r="C153" s="2" t="str">
        <f ca="1">IFERROR(__xludf.DUMMYFUNCTION("""COMPUTED_VALUE"""),"Mugwangho Elsas Kjopie")</f>
        <v>Mugwangho Elsas Kjopie</v>
      </c>
    </row>
    <row r="154" spans="3:3" x14ac:dyDescent="0.2">
      <c r="C154" s="2" t="str">
        <f ca="1">IFERROR(__xludf.DUMMYFUNCTION("""COMPUTED_VALUE"""),"Mukatan")</f>
        <v>Mukatan</v>
      </c>
    </row>
    <row r="155" spans="3:3" x14ac:dyDescent="0.2">
      <c r="C155" s="2" t="str">
        <f ca="1">IFERROR(__xludf.DUMMYFUNCTION("""COMPUTED_VALUE"""),"Mumias")</f>
        <v>Mumias</v>
      </c>
    </row>
    <row r="156" spans="3:3" x14ac:dyDescent="0.2">
      <c r="C156" s="2" t="str">
        <f ca="1">IFERROR(__xludf.DUMMYFUNCTION("""COMPUTED_VALUE"""),"Mundui")</f>
        <v>Mundui</v>
      </c>
    </row>
    <row r="157" spans="3:3" x14ac:dyDescent="0.2">
      <c r="C157" s="2" t="str">
        <f ca="1">IFERROR(__xludf.DUMMYFUNCTION("""COMPUTED_VALUE"""),"Muridjo Ol Malo")</f>
        <v>Muridjo Ol Malo</v>
      </c>
    </row>
    <row r="158" spans="3:3" x14ac:dyDescent="0.2">
      <c r="C158" s="2" t="str">
        <f ca="1">IFERROR(__xludf.DUMMYFUNCTION("""COMPUTED_VALUE"""),"Musiara")</f>
        <v>Musiara</v>
      </c>
    </row>
    <row r="159" spans="3:3" x14ac:dyDescent="0.2">
      <c r="C159" s="2" t="str">
        <f ca="1">IFERROR(__xludf.DUMMYFUNCTION("""COMPUTED_VALUE"""),"Mwatate")</f>
        <v>Mwatate</v>
      </c>
    </row>
    <row r="160" spans="3:3" x14ac:dyDescent="0.2">
      <c r="C160" s="2" t="str">
        <f ca="1">IFERROR(__xludf.DUMMYFUNCTION("""COMPUTED_VALUE"""),"Mweiga")</f>
        <v>Mweiga</v>
      </c>
    </row>
    <row r="161" spans="3:3" x14ac:dyDescent="0.2">
      <c r="C161" s="2" t="str">
        <f ca="1">IFERROR(__xludf.DUMMYFUNCTION("""COMPUTED_VALUE"""),"Nairobi Jomo Kenyatta International")</f>
        <v>Nairobi Jomo Kenyatta International</v>
      </c>
    </row>
    <row r="162" spans="3:3" x14ac:dyDescent="0.2">
      <c r="C162" s="2" t="str">
        <f ca="1">IFERROR(__xludf.DUMMYFUNCTION("""COMPUTED_VALUE"""),"Nairobi Wilson International")</f>
        <v>Nairobi Wilson International</v>
      </c>
    </row>
    <row r="163" spans="3:3" x14ac:dyDescent="0.2">
      <c r="C163" s="2" t="str">
        <f ca="1">IFERROR(__xludf.DUMMYFUNCTION("""COMPUTED_VALUE"""),"Naishi")</f>
        <v>Naishi</v>
      </c>
    </row>
    <row r="164" spans="3:3" x14ac:dyDescent="0.2">
      <c r="C164" s="2" t="str">
        <f ca="1">IFERROR(__xludf.DUMMYFUNCTION("""COMPUTED_VALUE"""),"Nakechickok")</f>
        <v>Nakechickok</v>
      </c>
    </row>
    <row r="165" spans="3:3" x14ac:dyDescent="0.2">
      <c r="C165" s="2" t="str">
        <f ca="1">IFERROR(__xludf.DUMMYFUNCTION("""COMPUTED_VALUE"""),"Namanga")</f>
        <v>Namanga</v>
      </c>
    </row>
    <row r="166" spans="3:3" x14ac:dyDescent="0.2">
      <c r="C166" s="2" t="str">
        <f ca="1">IFERROR(__xludf.DUMMYFUNCTION("""COMPUTED_VALUE"""),"Namunyak")</f>
        <v>Namunyak</v>
      </c>
    </row>
    <row r="167" spans="3:3" x14ac:dyDescent="0.2">
      <c r="C167" s="2" t="str">
        <f ca="1">IFERROR(__xludf.DUMMYFUNCTION("""COMPUTED_VALUE"""),"Nanyuki Civil")</f>
        <v>Nanyuki Civil</v>
      </c>
    </row>
    <row r="168" spans="3:3" x14ac:dyDescent="0.2">
      <c r="C168" s="2" t="str">
        <f ca="1">IFERROR(__xludf.DUMMYFUNCTION("""COMPUTED_VALUE"""),"Nariokotome")</f>
        <v>Nariokotome</v>
      </c>
    </row>
    <row r="169" spans="3:3" x14ac:dyDescent="0.2">
      <c r="C169" s="2" t="str">
        <f ca="1">IFERROR(__xludf.DUMMYFUNCTION("""COMPUTED_VALUE"""),"Ngerende KE")</f>
        <v>Ngerende KE</v>
      </c>
    </row>
    <row r="170" spans="3:3" x14ac:dyDescent="0.2">
      <c r="C170" s="2" t="str">
        <f ca="1">IFERROR(__xludf.DUMMYFUNCTION("""COMPUTED_VALUE"""),"Ngorinit-South")</f>
        <v>Ngorinit-South</v>
      </c>
    </row>
    <row r="171" spans="3:3" x14ac:dyDescent="0.2">
      <c r="C171" s="2" t="str">
        <f ca="1">IFERROR(__xludf.DUMMYFUNCTION("""COMPUTED_VALUE"""),"Ngulia")</f>
        <v>Ngulia</v>
      </c>
    </row>
    <row r="172" spans="3:3" x14ac:dyDescent="0.2">
      <c r="C172" s="2" t="str">
        <f ca="1">IFERROR(__xludf.DUMMYFUNCTION("""COMPUTED_VALUE"""),"North Mara")</f>
        <v>North Mara</v>
      </c>
    </row>
    <row r="173" spans="3:3" x14ac:dyDescent="0.2">
      <c r="C173" s="2" t="str">
        <f ca="1">IFERROR(__xludf.DUMMYFUNCTION("""COMPUTED_VALUE"""),"North Horr")</f>
        <v>North Horr</v>
      </c>
    </row>
    <row r="174" spans="3:3" x14ac:dyDescent="0.2">
      <c r="C174" s="2" t="str">
        <f ca="1">IFERROR(__xludf.DUMMYFUNCTION("""COMPUTED_VALUE"""),"Nyahururu")</f>
        <v>Nyahururu</v>
      </c>
    </row>
    <row r="175" spans="3:3" x14ac:dyDescent="0.2">
      <c r="C175" s="2" t="str">
        <f ca="1">IFERROR(__xludf.DUMMYFUNCTION("""COMPUTED_VALUE"""),"Nyeri")</f>
        <v>Nyeri</v>
      </c>
    </row>
    <row r="176" spans="3:3" x14ac:dyDescent="0.2">
      <c r="C176" s="2" t="str">
        <f ca="1">IFERROR(__xludf.DUMMYFUNCTION("""COMPUTED_VALUE"""),"Ol Donyo Waus")</f>
        <v>Ol Donyo Waus</v>
      </c>
    </row>
    <row r="177" spans="3:3" x14ac:dyDescent="0.2">
      <c r="C177" s="2" t="str">
        <f ca="1">IFERROR(__xludf.DUMMYFUNCTION("""COMPUTED_VALUE"""),"Ol Jogi")</f>
        <v>Ol Jogi</v>
      </c>
    </row>
    <row r="178" spans="3:3" x14ac:dyDescent="0.2">
      <c r="C178" s="2" t="str">
        <f ca="1">IFERROR(__xludf.DUMMYFUNCTION("""COMPUTED_VALUE"""),"Ol Kuruk")</f>
        <v>Ol Kuruk</v>
      </c>
    </row>
    <row r="179" spans="3:3" x14ac:dyDescent="0.2">
      <c r="C179" s="2" t="str">
        <f ca="1">IFERROR(__xludf.DUMMYFUNCTION("""COMPUTED_VALUE"""),"Ol Maisor")</f>
        <v>Ol Maisor</v>
      </c>
    </row>
    <row r="180" spans="3:3" x14ac:dyDescent="0.2">
      <c r="C180" s="2" t="str">
        <f ca="1">IFERROR(__xludf.DUMMYFUNCTION("""COMPUTED_VALUE"""),"Ol Malo")</f>
        <v>Ol Malo</v>
      </c>
    </row>
    <row r="181" spans="3:3" x14ac:dyDescent="0.2">
      <c r="C181" s="2" t="str">
        <f ca="1">IFERROR(__xludf.DUMMYFUNCTION("""COMPUTED_VALUE"""),"Ol Malo")</f>
        <v>Ol Malo</v>
      </c>
    </row>
    <row r="182" spans="3:3" x14ac:dyDescent="0.2">
      <c r="C182" s="2" t="str">
        <f ca="1">IFERROR(__xludf.DUMMYFUNCTION("""COMPUTED_VALUE"""),"Ol Pejeta")</f>
        <v>Ol Pejeta</v>
      </c>
    </row>
    <row r="183" spans="3:3" x14ac:dyDescent="0.2">
      <c r="C183" s="2" t="str">
        <f ca="1">IFERROR(__xludf.DUMMYFUNCTION("""COMPUTED_VALUE"""),"Ol Seki")</f>
        <v>Ol Seki</v>
      </c>
    </row>
    <row r="184" spans="3:3" x14ac:dyDescent="0.2">
      <c r="C184" s="2" t="str">
        <f ca="1">IFERROR(__xludf.DUMMYFUNCTION("""COMPUTED_VALUE"""),"Olare Orok")</f>
        <v>Olare Orok</v>
      </c>
    </row>
    <row r="185" spans="3:3" x14ac:dyDescent="0.2">
      <c r="C185" s="2" t="str">
        <f ca="1">IFERROR(__xludf.DUMMYFUNCTION("""COMPUTED_VALUE"""),"Ole Naishu")</f>
        <v>Ole Naishu</v>
      </c>
    </row>
    <row r="186" spans="3:3" x14ac:dyDescent="0.2">
      <c r="C186" s="2" t="str">
        <f ca="1">IFERROR(__xludf.DUMMYFUNCTION("""COMPUTED_VALUE"""),"Olkiombo ")</f>
        <v xml:space="preserve">Olkiombo </v>
      </c>
    </row>
    <row r="187" spans="3:3" x14ac:dyDescent="0.2">
      <c r="C187" s="2" t="str">
        <f ca="1">IFERROR(__xludf.DUMMYFUNCTION("""COMPUTED_VALUE"""),"ORLY Airpark")</f>
        <v>ORLY Airpark</v>
      </c>
    </row>
    <row r="188" spans="3:3" x14ac:dyDescent="0.2">
      <c r="C188" s="2" t="str">
        <f ca="1">IFERROR(__xludf.DUMMYFUNCTION("""COMPUTED_VALUE"""),"Oryx Samburu")</f>
        <v>Oryx Samburu</v>
      </c>
    </row>
    <row r="189" spans="3:3" x14ac:dyDescent="0.2">
      <c r="C189" s="2" t="str">
        <f ca="1">IFERROR(__xludf.DUMMYFUNCTION("""COMPUTED_VALUE"""),"Oserian")</f>
        <v>Oserian</v>
      </c>
    </row>
    <row r="190" spans="3:3" x14ac:dyDescent="0.2">
      <c r="C190" s="2" t="str">
        <f ca="1">IFERROR(__xludf.DUMMYFUNCTION("""COMPUTED_VALUE"""),"Pai Pai")</f>
        <v>Pai Pai</v>
      </c>
    </row>
    <row r="191" spans="3:3" x14ac:dyDescent="0.2">
      <c r="C191" s="2" t="str">
        <f ca="1">IFERROR(__xludf.DUMMYFUNCTION("""COMPUTED_VALUE"""),"Rangers")</f>
        <v>Rangers</v>
      </c>
    </row>
    <row r="192" spans="3:3" x14ac:dyDescent="0.2">
      <c r="C192" s="2" t="str">
        <f ca="1">IFERROR(__xludf.DUMMYFUNCTION("""COMPUTED_VALUE"""),"Reteti")</f>
        <v>Reteti</v>
      </c>
    </row>
    <row r="193" spans="3:3" x14ac:dyDescent="0.2">
      <c r="C193" s="2" t="str">
        <f ca="1">IFERROR(__xludf.DUMMYFUNCTION("""COMPUTED_VALUE"""),"Rhamu")</f>
        <v>Rhamu</v>
      </c>
    </row>
    <row r="194" spans="3:3" x14ac:dyDescent="0.2">
      <c r="C194" s="2" t="str">
        <f ca="1">IFERROR(__xludf.DUMMYFUNCTION("""COMPUTED_VALUE"""),"Rhino Base")</f>
        <v>Rhino Base</v>
      </c>
    </row>
    <row r="195" spans="3:3" x14ac:dyDescent="0.2">
      <c r="C195" s="2" t="str">
        <f ca="1">IFERROR(__xludf.DUMMYFUNCTION("""COMPUTED_VALUE"""),"Richards Little camp mara")</f>
        <v>Richards Little camp mara</v>
      </c>
    </row>
    <row r="196" spans="3:3" x14ac:dyDescent="0.2">
      <c r="C196" s="2" t="str">
        <f ca="1">IFERROR(__xludf.DUMMYFUNCTION("""COMPUTED_VALUE"""),"Rocco Olerai")</f>
        <v>Rocco Olerai</v>
      </c>
    </row>
    <row r="197" spans="3:3" x14ac:dyDescent="0.2">
      <c r="C197" s="2" t="str">
        <f ca="1">IFERROR(__xludf.DUMMYFUNCTION("""COMPUTED_VALUE"""),"Rukinga")</f>
        <v>Rukinga</v>
      </c>
    </row>
    <row r="198" spans="3:3" x14ac:dyDescent="0.2">
      <c r="C198" s="2" t="str">
        <f ca="1">IFERROR(__xludf.DUMMYFUNCTION("""COMPUTED_VALUE"""),"Rusinga Island")</f>
        <v>Rusinga Island</v>
      </c>
    </row>
    <row r="199" spans="3:3" x14ac:dyDescent="0.2">
      <c r="C199" s="2" t="str">
        <f ca="1">IFERROR(__xludf.DUMMYFUNCTION("""COMPUTED_VALUE"""),"Sala Gate")</f>
        <v>Sala Gate</v>
      </c>
    </row>
    <row r="200" spans="3:3" x14ac:dyDescent="0.2">
      <c r="C200" s="2" t="str">
        <f ca="1">IFERROR(__xludf.DUMMYFUNCTION("""COMPUTED_VALUE"""),"Samburu Buffalo Springs")</f>
        <v>Samburu Buffalo Springs</v>
      </c>
    </row>
    <row r="201" spans="3:3" x14ac:dyDescent="0.2">
      <c r="C201" s="2" t="str">
        <f ca="1">IFERROR(__xludf.DUMMYFUNCTION("""COMPUTED_VALUE"""),"Sangare")</f>
        <v>Sangare</v>
      </c>
    </row>
    <row r="202" spans="3:3" x14ac:dyDescent="0.2">
      <c r="C202" s="2" t="str">
        <f ca="1">IFERROR(__xludf.DUMMYFUNCTION("""COMPUTED_VALUE"""),"Sarara")</f>
        <v>Sarara</v>
      </c>
    </row>
    <row r="203" spans="3:3" x14ac:dyDescent="0.2">
      <c r="C203" s="2" t="str">
        <f ca="1">IFERROR(__xludf.DUMMYFUNCTION("""COMPUTED_VALUE"""),"Sasaab")</f>
        <v>Sasaab</v>
      </c>
    </row>
    <row r="204" spans="3:3" x14ac:dyDescent="0.2">
      <c r="C204" s="2" t="str">
        <f ca="1">IFERROR(__xludf.DUMMYFUNCTION("""COMPUTED_VALUE"""),"Satao")</f>
        <v>Satao</v>
      </c>
    </row>
    <row r="205" spans="3:3" x14ac:dyDescent="0.2">
      <c r="C205" s="2" t="str">
        <f ca="1">IFERROR(__xludf.DUMMYFUNCTION("""COMPUTED_VALUE"""),"Sedar")</f>
        <v>Sedar</v>
      </c>
    </row>
    <row r="206" spans="3:3" x14ac:dyDescent="0.2">
      <c r="C206" s="2" t="str">
        <f ca="1">IFERROR(__xludf.DUMMYFUNCTION("""COMPUTED_VALUE"""),"Segel Marsabit")</f>
        <v>Segel Marsabit</v>
      </c>
    </row>
    <row r="207" spans="3:3" x14ac:dyDescent="0.2">
      <c r="C207" s="2" t="str">
        <f ca="1">IFERROR(__xludf.DUMMYFUNCTION("""COMPUTED_VALUE"""),"Segera Ranch")</f>
        <v>Segera Ranch</v>
      </c>
    </row>
    <row r="208" spans="3:3" x14ac:dyDescent="0.2">
      <c r="C208" s="2" t="str">
        <f ca="1">IFERROR(__xludf.DUMMYFUNCTION("""COMPUTED_VALUE"""),"Sera Kauro")</f>
        <v>Sera Kauro</v>
      </c>
    </row>
    <row r="209" spans="3:3" x14ac:dyDescent="0.2">
      <c r="C209" s="2" t="str">
        <f ca="1">IFERROR(__xludf.DUMMYFUNCTION("""COMPUTED_VALUE"""),"Sera Lebi")</f>
        <v>Sera Lebi</v>
      </c>
    </row>
    <row r="210" spans="3:3" x14ac:dyDescent="0.2">
      <c r="C210" s="2" t="str">
        <f ca="1">IFERROR(__xludf.DUMMYFUNCTION("""COMPUTED_VALUE"""),"Serena Mara")</f>
        <v>Serena Mara</v>
      </c>
    </row>
    <row r="211" spans="3:3" x14ac:dyDescent="0.2">
      <c r="C211" s="2" t="str">
        <f ca="1">IFERROR(__xludf.DUMMYFUNCTION("""COMPUTED_VALUE"""),"Shaba")</f>
        <v>Shaba</v>
      </c>
    </row>
    <row r="212" spans="3:3" x14ac:dyDescent="0.2">
      <c r="C212" s="2" t="str">
        <f ca="1">IFERROR(__xludf.DUMMYFUNCTION("""COMPUTED_VALUE"""),"Shompole")</f>
        <v>Shompole</v>
      </c>
    </row>
    <row r="213" spans="3:3" x14ac:dyDescent="0.2">
      <c r="C213" s="2" t="str">
        <f ca="1">IFERROR(__xludf.DUMMYFUNCTION("""COMPUTED_VALUE"""),"Siana Springs")</f>
        <v>Siana Springs</v>
      </c>
    </row>
    <row r="214" spans="3:3" x14ac:dyDescent="0.2">
      <c r="C214" s="2" t="str">
        <f ca="1">IFERROR(__xludf.DUMMYFUNCTION("""COMPUTED_VALUE"""),"Sibiloi")</f>
        <v>Sibiloi</v>
      </c>
    </row>
    <row r="215" spans="3:3" x14ac:dyDescent="0.2">
      <c r="C215" s="2" t="str">
        <f ca="1">IFERROR(__xludf.DUMMYFUNCTION("""COMPUTED_VALUE"""),"Simba Rumaruti")</f>
        <v>Simba Rumaruti</v>
      </c>
    </row>
    <row r="216" spans="3:3" x14ac:dyDescent="0.2">
      <c r="C216" s="2" t="str">
        <f ca="1">IFERROR(__xludf.DUMMYFUNCTION("""COMPUTED_VALUE"""),"Soitik")</f>
        <v>Soitik</v>
      </c>
    </row>
    <row r="217" spans="3:3" x14ac:dyDescent="0.2">
      <c r="C217" s="2" t="str">
        <f ca="1">IFERROR(__xludf.DUMMYFUNCTION("""COMPUTED_VALUE"""),"Solio Ranch")</f>
        <v>Solio Ranch</v>
      </c>
    </row>
    <row r="218" spans="3:3" x14ac:dyDescent="0.2">
      <c r="C218" s="2" t="str">
        <f ca="1">IFERROR(__xludf.DUMMYFUNCTION("""COMPUTED_VALUE"""),"Sosian")</f>
        <v>Sosian</v>
      </c>
    </row>
    <row r="219" spans="3:3" x14ac:dyDescent="0.2">
      <c r="C219" s="2" t="str">
        <f ca="1">IFERROR(__xludf.DUMMYFUNCTION("""COMPUTED_VALUE"""),"South Horr (use Sedar)")</f>
        <v>South Horr (use Sedar)</v>
      </c>
    </row>
    <row r="220" spans="3:3" x14ac:dyDescent="0.2">
      <c r="C220" s="2" t="str">
        <f ca="1">IFERROR(__xludf.DUMMYFUNCTION("""COMPUTED_VALUE"""),"Soysambu HQ")</f>
        <v>Soysambu HQ</v>
      </c>
    </row>
    <row r="221" spans="3:3" x14ac:dyDescent="0.2">
      <c r="C221" s="2" t="str">
        <f ca="1">IFERROR(__xludf.DUMMYFUNCTION("""COMPUTED_VALUE"""),"St. Andrews Turi")</f>
        <v>St. Andrews Turi</v>
      </c>
    </row>
    <row r="222" spans="3:3" x14ac:dyDescent="0.2">
      <c r="C222" s="2" t="str">
        <f ca="1">IFERROR(__xludf.DUMMYFUNCTION("""COMPUTED_VALUE"""),"Suiyan")</f>
        <v>Suiyan</v>
      </c>
    </row>
    <row r="223" spans="3:3" x14ac:dyDescent="0.2">
      <c r="C223" s="2" t="str">
        <f ca="1">IFERROR(__xludf.DUMMYFUNCTION("""COMPUTED_VALUE"""),"Taita-Hills Lodge")</f>
        <v>Taita-Hills Lodge</v>
      </c>
    </row>
    <row r="224" spans="3:3" x14ac:dyDescent="0.2">
      <c r="C224" s="2" t="str">
        <f ca="1">IFERROR(__xludf.DUMMYFUNCTION("""COMPUTED_VALUE"""),"Takabba")</f>
        <v>Takabba</v>
      </c>
    </row>
    <row r="225" spans="3:3" x14ac:dyDescent="0.2">
      <c r="C225" s="2" t="str">
        <f ca="1">IFERROR(__xludf.DUMMYFUNCTION("""COMPUTED_VALUE"""),"Tana River Delta Shikiko")</f>
        <v>Tana River Delta Shikiko</v>
      </c>
    </row>
    <row r="226" spans="3:3" x14ac:dyDescent="0.2">
      <c r="C226" s="2" t="str">
        <f ca="1">IFERROR(__xludf.DUMMYFUNCTION("""COMPUTED_VALUE"""),"Tassia")</f>
        <v>Tassia</v>
      </c>
    </row>
    <row r="227" spans="3:3" x14ac:dyDescent="0.2">
      <c r="C227" s="2" t="str">
        <f ca="1">IFERROR(__xludf.DUMMYFUNCTION("""COMPUTED_VALUE"""),"Tatu")</f>
        <v>Tatu</v>
      </c>
    </row>
    <row r="228" spans="3:3" x14ac:dyDescent="0.2">
      <c r="C228" s="2" t="str">
        <f ca="1">IFERROR(__xludf.DUMMYFUNCTION("""COMPUTED_VALUE"""),"Taveta-Sisal")</f>
        <v>Taveta-Sisal</v>
      </c>
    </row>
    <row r="229" spans="3:3" x14ac:dyDescent="0.2">
      <c r="C229" s="2" t="str">
        <f ca="1">IFERROR(__xludf.DUMMYFUNCTION("""COMPUTED_VALUE"""),"Tawi")</f>
        <v>Tawi</v>
      </c>
    </row>
    <row r="230" spans="3:3" x14ac:dyDescent="0.2">
      <c r="C230" s="2" t="str">
        <f ca="1">IFERROR(__xludf.DUMMYFUNCTION("""COMPUTED_VALUE"""),"Thika")</f>
        <v>Thika</v>
      </c>
    </row>
    <row r="231" spans="3:3" x14ac:dyDescent="0.2">
      <c r="C231" s="2" t="str">
        <f ca="1">IFERROR(__xludf.DUMMYFUNCTION("""COMPUTED_VALUE"""),"Tinderet")</f>
        <v>Tinderet</v>
      </c>
    </row>
    <row r="232" spans="3:3" x14ac:dyDescent="0.2">
      <c r="C232" s="2" t="str">
        <f ca="1">IFERROR(__xludf.DUMMYFUNCTION("""COMPUTED_VALUE"""),"Tum")</f>
        <v>Tum</v>
      </c>
    </row>
    <row r="233" spans="3:3" x14ac:dyDescent="0.2">
      <c r="C233" s="2" t="str">
        <f ca="1">IFERROR(__xludf.DUMMYFUNCTION("""COMPUTED_VALUE"""),"Turi")</f>
        <v>Turi</v>
      </c>
    </row>
    <row r="234" spans="3:3" x14ac:dyDescent="0.2">
      <c r="C234" s="2" t="str">
        <f ca="1">IFERROR(__xludf.DUMMYFUNCTION("""COMPUTED_VALUE"""),"Turkwel Gorge")</f>
        <v>Turkwel Gorge</v>
      </c>
    </row>
    <row r="235" spans="3:3" x14ac:dyDescent="0.2">
      <c r="C235" s="2" t="str">
        <f ca="1">IFERROR(__xludf.DUMMYFUNCTION("""COMPUTED_VALUE"""),"Ukunda Diani")</f>
        <v>Ukunda Diani</v>
      </c>
    </row>
    <row r="236" spans="3:3" x14ac:dyDescent="0.2">
      <c r="C236" s="2" t="str">
        <f ca="1">IFERROR(__xludf.DUMMYFUNCTION("""COMPUTED_VALUE"""),"Umani Springs")</f>
        <v>Umani Springs</v>
      </c>
    </row>
    <row r="237" spans="3:3" x14ac:dyDescent="0.2">
      <c r="C237" s="2" t="str">
        <f ca="1">IFERROR(__xludf.DUMMYFUNCTION("""COMPUTED_VALUE"""),"Vipingo")</f>
        <v>Vipingo</v>
      </c>
    </row>
    <row r="238" spans="3:3" x14ac:dyDescent="0.2">
      <c r="C238" s="2" t="str">
        <f ca="1">IFERROR(__xludf.DUMMYFUNCTION("""COMPUTED_VALUE"""),"Voi Park")</f>
        <v>Voi Park</v>
      </c>
    </row>
    <row r="239" spans="3:3" x14ac:dyDescent="0.2">
      <c r="C239" s="2" t="str">
        <f ca="1">IFERROR(__xludf.DUMMYFUNCTION("""COMPUTED_VALUE"""),"Voi Town")</f>
        <v>Voi Town</v>
      </c>
    </row>
    <row r="240" spans="3:3" x14ac:dyDescent="0.2">
      <c r="C240" s="2" t="str">
        <f ca="1">IFERROR(__xludf.DUMMYFUNCTION("""COMPUTED_VALUE"""),"Wajir Military")</f>
        <v>Wajir Military</v>
      </c>
    </row>
    <row r="241" spans="3:3" x14ac:dyDescent="0.2">
      <c r="C241" s="2" t="str">
        <f ca="1">IFERROR(__xludf.DUMMYFUNCTION("""COMPUTED_VALUE"""),"Wamba")</f>
        <v>Wamba</v>
      </c>
    </row>
    <row r="242" spans="3:3" x14ac:dyDescent="0.2">
      <c r="C242" s="2" t="str">
        <f ca="1">IFERROR(__xludf.DUMMYFUNCTION("""COMPUTED_VALUE"""),"Webuye")</f>
        <v>Webuye</v>
      </c>
    </row>
    <row r="243" spans="3:3" x14ac:dyDescent="0.2">
      <c r="C243" s="2" t="str">
        <f ca="1">IFERROR(__xludf.DUMMYFUNCTION("""COMPUTED_VALUE"""),"Yala Swamp")</f>
        <v>Yala Swamp</v>
      </c>
    </row>
    <row r="244" spans="3:3" x14ac:dyDescent="0.2">
      <c r="C244" s="2" t="str">
        <f ca="1">IFERROR(__xludf.DUMMYFUNCTION("""COMPUTED_VALUE"""),"Ziwani Sisal")</f>
        <v>Ziwani Sisal</v>
      </c>
    </row>
    <row r="245" spans="3:3" x14ac:dyDescent="0.2">
      <c r="C245" s="2" t="str">
        <f ca="1">IFERROR(__xludf.DUMMYFUNCTION("""COMPUTED_VALUE"""),"Ziwani-Lodge")</f>
        <v>Ziwani-Lodge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SETTINGS!$B$2:$B$89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5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32.28515625" customWidth="1"/>
    <col min="2" max="2" width="15.140625" customWidth="1"/>
  </cols>
  <sheetData>
    <row r="1" spans="1:3" x14ac:dyDescent="0.2">
      <c r="B1" s="3"/>
      <c r="C1" s="3"/>
    </row>
    <row r="2" spans="1:3" x14ac:dyDescent="0.2">
      <c r="A2" s="4" t="s">
        <v>4</v>
      </c>
      <c r="B2" s="4" t="s">
        <v>5</v>
      </c>
      <c r="C2" s="4" t="s">
        <v>6</v>
      </c>
    </row>
    <row r="3" spans="1:3" x14ac:dyDescent="0.2">
      <c r="A3" s="3" t="s">
        <v>7</v>
      </c>
      <c r="B3" s="5" t="s">
        <v>8</v>
      </c>
      <c r="C3" s="3"/>
    </row>
    <row r="4" spans="1:3" x14ac:dyDescent="0.2">
      <c r="A4" s="5" t="s">
        <v>9</v>
      </c>
      <c r="B4" s="5" t="s">
        <v>10</v>
      </c>
      <c r="C4" s="3"/>
    </row>
    <row r="5" spans="1:3" x14ac:dyDescent="0.2">
      <c r="A5" s="3" t="s">
        <v>11</v>
      </c>
      <c r="B5" s="5" t="s">
        <v>8</v>
      </c>
      <c r="C5" s="3"/>
    </row>
    <row r="6" spans="1:3" x14ac:dyDescent="0.2">
      <c r="A6" s="3" t="s">
        <v>12</v>
      </c>
      <c r="B6" s="5" t="s">
        <v>13</v>
      </c>
      <c r="C6" s="3"/>
    </row>
    <row r="7" spans="1:3" x14ac:dyDescent="0.2">
      <c r="A7" s="5" t="s">
        <v>14</v>
      </c>
      <c r="B7" s="5" t="s">
        <v>3</v>
      </c>
      <c r="C7" s="3"/>
    </row>
    <row r="8" spans="1:3" x14ac:dyDescent="0.2">
      <c r="A8" s="3" t="s">
        <v>15</v>
      </c>
      <c r="B8" s="5" t="s">
        <v>13</v>
      </c>
      <c r="C8" s="3"/>
    </row>
    <row r="9" spans="1:3" x14ac:dyDescent="0.2">
      <c r="A9" s="3" t="s">
        <v>16</v>
      </c>
      <c r="B9" s="5" t="s">
        <v>13</v>
      </c>
      <c r="C9" s="3"/>
    </row>
    <row r="10" spans="1:3" x14ac:dyDescent="0.2">
      <c r="A10" s="3" t="s">
        <v>17</v>
      </c>
      <c r="B10" s="5" t="s">
        <v>13</v>
      </c>
      <c r="C10" s="3"/>
    </row>
    <row r="11" spans="1:3" x14ac:dyDescent="0.2">
      <c r="A11" s="3" t="s">
        <v>18</v>
      </c>
      <c r="B11" s="5" t="s">
        <v>13</v>
      </c>
      <c r="C11" s="3"/>
    </row>
    <row r="12" spans="1:3" x14ac:dyDescent="0.2">
      <c r="A12" s="3" t="s">
        <v>19</v>
      </c>
      <c r="B12" s="5" t="s">
        <v>3</v>
      </c>
      <c r="C12" s="3"/>
    </row>
    <row r="13" spans="1:3" x14ac:dyDescent="0.2">
      <c r="A13" s="5" t="s">
        <v>20</v>
      </c>
      <c r="B13" s="5" t="s">
        <v>3</v>
      </c>
      <c r="C13" s="3"/>
    </row>
    <row r="14" spans="1:3" x14ac:dyDescent="0.2">
      <c r="A14" s="5" t="s">
        <v>21</v>
      </c>
      <c r="B14" s="5" t="s">
        <v>3</v>
      </c>
      <c r="C14" s="3"/>
    </row>
    <row r="15" spans="1:3" x14ac:dyDescent="0.2">
      <c r="A15" s="5" t="s">
        <v>22</v>
      </c>
      <c r="B15" s="5" t="s">
        <v>23</v>
      </c>
      <c r="C15" s="3"/>
    </row>
    <row r="16" spans="1:3" x14ac:dyDescent="0.2">
      <c r="A16" s="5" t="s">
        <v>24</v>
      </c>
      <c r="B16" s="5" t="s">
        <v>3</v>
      </c>
      <c r="C16" s="3"/>
    </row>
    <row r="17" spans="1:3" x14ac:dyDescent="0.2">
      <c r="A17" s="3" t="s">
        <v>25</v>
      </c>
      <c r="B17" s="5" t="s">
        <v>26</v>
      </c>
      <c r="C17" s="3"/>
    </row>
    <row r="18" spans="1:3" x14ac:dyDescent="0.2">
      <c r="A18" s="3" t="s">
        <v>27</v>
      </c>
      <c r="B18" s="5" t="s">
        <v>26</v>
      </c>
      <c r="C18" s="3"/>
    </row>
    <row r="19" spans="1:3" x14ac:dyDescent="0.2">
      <c r="A19" s="3" t="s">
        <v>28</v>
      </c>
      <c r="B19" s="5" t="s">
        <v>3</v>
      </c>
      <c r="C19" s="3"/>
    </row>
    <row r="20" spans="1:3" x14ac:dyDescent="0.2">
      <c r="A20" s="3" t="s">
        <v>29</v>
      </c>
      <c r="B20" s="5" t="s">
        <v>26</v>
      </c>
      <c r="C20" s="3"/>
    </row>
    <row r="21" spans="1:3" x14ac:dyDescent="0.2">
      <c r="A21" s="3" t="s">
        <v>30</v>
      </c>
      <c r="B21" s="5" t="s">
        <v>13</v>
      </c>
      <c r="C21" s="3"/>
    </row>
    <row r="22" spans="1:3" x14ac:dyDescent="0.2">
      <c r="A22" s="3" t="s">
        <v>31</v>
      </c>
      <c r="B22" s="5" t="s">
        <v>13</v>
      </c>
      <c r="C22" s="3"/>
    </row>
    <row r="23" spans="1:3" x14ac:dyDescent="0.2">
      <c r="A23" s="3" t="s">
        <v>32</v>
      </c>
      <c r="B23" s="5" t="s">
        <v>23</v>
      </c>
      <c r="C23" s="3"/>
    </row>
    <row r="24" spans="1:3" x14ac:dyDescent="0.2">
      <c r="A24" s="3" t="s">
        <v>33</v>
      </c>
      <c r="B24" s="5" t="s">
        <v>3</v>
      </c>
      <c r="C24" s="3"/>
    </row>
    <row r="25" spans="1:3" x14ac:dyDescent="0.2">
      <c r="A25" s="3" t="s">
        <v>34</v>
      </c>
      <c r="B25" s="5" t="s">
        <v>8</v>
      </c>
      <c r="C25" s="3"/>
    </row>
    <row r="26" spans="1:3" x14ac:dyDescent="0.2">
      <c r="A26" s="3" t="s">
        <v>35</v>
      </c>
      <c r="B26" s="5" t="s">
        <v>8</v>
      </c>
      <c r="C26" s="3"/>
    </row>
    <row r="27" spans="1:3" x14ac:dyDescent="0.2">
      <c r="A27" s="5" t="s">
        <v>36</v>
      </c>
      <c r="B27" s="5" t="s">
        <v>23</v>
      </c>
      <c r="C27" s="3"/>
    </row>
    <row r="28" spans="1:3" x14ac:dyDescent="0.2">
      <c r="A28" s="3" t="s">
        <v>37</v>
      </c>
      <c r="B28" s="5" t="s">
        <v>3</v>
      </c>
      <c r="C28" s="3"/>
    </row>
    <row r="29" spans="1:3" x14ac:dyDescent="0.2">
      <c r="A29" s="3" t="s">
        <v>38</v>
      </c>
      <c r="B29" s="5" t="s">
        <v>23</v>
      </c>
      <c r="C29" s="3"/>
    </row>
    <row r="30" spans="1:3" x14ac:dyDescent="0.2">
      <c r="A30" s="3" t="s">
        <v>39</v>
      </c>
      <c r="B30" s="5" t="s">
        <v>8</v>
      </c>
      <c r="C30" s="3"/>
    </row>
    <row r="31" spans="1:3" x14ac:dyDescent="0.2">
      <c r="A31" s="3" t="s">
        <v>40</v>
      </c>
      <c r="B31" s="5" t="s">
        <v>3</v>
      </c>
      <c r="C31" s="3"/>
    </row>
    <row r="32" spans="1:3" x14ac:dyDescent="0.2">
      <c r="A32" s="3" t="s">
        <v>41</v>
      </c>
      <c r="B32" s="5" t="s">
        <v>8</v>
      </c>
      <c r="C32" s="3"/>
    </row>
    <row r="33" spans="1:3" x14ac:dyDescent="0.2">
      <c r="A33" s="5" t="s">
        <v>42</v>
      </c>
      <c r="B33" s="5" t="s">
        <v>3</v>
      </c>
      <c r="C33" s="3"/>
    </row>
    <row r="34" spans="1:3" x14ac:dyDescent="0.2">
      <c r="A34" s="3" t="s">
        <v>43</v>
      </c>
      <c r="B34" s="5" t="s">
        <v>8</v>
      </c>
      <c r="C34" s="3"/>
    </row>
    <row r="35" spans="1:3" x14ac:dyDescent="0.2">
      <c r="A35" s="3" t="s">
        <v>44</v>
      </c>
      <c r="B35" s="5" t="s">
        <v>23</v>
      </c>
      <c r="C35" s="3"/>
    </row>
    <row r="36" spans="1:3" x14ac:dyDescent="0.2">
      <c r="A36" s="3" t="s">
        <v>45</v>
      </c>
      <c r="B36" s="5" t="s">
        <v>46</v>
      </c>
      <c r="C36" s="3"/>
    </row>
    <row r="37" spans="1:3" x14ac:dyDescent="0.2">
      <c r="A37" s="3" t="s">
        <v>47</v>
      </c>
      <c r="B37" s="5" t="s">
        <v>8</v>
      </c>
      <c r="C37" s="3"/>
    </row>
    <row r="38" spans="1:3" x14ac:dyDescent="0.2">
      <c r="A38" s="3" t="s">
        <v>48</v>
      </c>
      <c r="B38" s="5" t="s">
        <v>8</v>
      </c>
      <c r="C38" s="3"/>
    </row>
    <row r="39" spans="1:3" x14ac:dyDescent="0.2">
      <c r="A39" s="3" t="s">
        <v>49</v>
      </c>
      <c r="B39" s="5" t="s">
        <v>50</v>
      </c>
      <c r="C39" s="3"/>
    </row>
    <row r="40" spans="1:3" x14ac:dyDescent="0.2">
      <c r="A40" s="3" t="s">
        <v>51</v>
      </c>
      <c r="B40" s="5" t="s">
        <v>26</v>
      </c>
      <c r="C40" s="3"/>
    </row>
    <row r="41" spans="1:3" x14ac:dyDescent="0.2">
      <c r="A41" s="3" t="s">
        <v>52</v>
      </c>
      <c r="B41" s="5" t="s">
        <v>3</v>
      </c>
      <c r="C41" s="3"/>
    </row>
    <row r="42" spans="1:3" x14ac:dyDescent="0.2">
      <c r="A42" s="3" t="s">
        <v>53</v>
      </c>
      <c r="B42" s="5" t="s">
        <v>13</v>
      </c>
      <c r="C42" s="3"/>
    </row>
    <row r="43" spans="1:3" x14ac:dyDescent="0.2">
      <c r="A43" s="5" t="s">
        <v>54</v>
      </c>
      <c r="B43" s="5" t="s">
        <v>3</v>
      </c>
      <c r="C43" s="3"/>
    </row>
    <row r="44" spans="1:3" x14ac:dyDescent="0.2">
      <c r="A44" s="3" t="s">
        <v>55</v>
      </c>
      <c r="B44" s="5" t="s">
        <v>8</v>
      </c>
      <c r="C44" s="3"/>
    </row>
    <row r="45" spans="1:3" x14ac:dyDescent="0.2">
      <c r="A45" s="3" t="s">
        <v>56</v>
      </c>
      <c r="B45" s="5" t="s">
        <v>50</v>
      </c>
      <c r="C45" s="3"/>
    </row>
    <row r="46" spans="1:3" x14ac:dyDescent="0.2">
      <c r="A46" s="3" t="s">
        <v>57</v>
      </c>
      <c r="B46" s="5" t="s">
        <v>23</v>
      </c>
      <c r="C46" s="3"/>
    </row>
    <row r="47" spans="1:3" x14ac:dyDescent="0.2">
      <c r="A47" s="3" t="s">
        <v>58</v>
      </c>
      <c r="B47" s="5" t="s">
        <v>46</v>
      </c>
      <c r="C47" s="3"/>
    </row>
    <row r="48" spans="1:3" x14ac:dyDescent="0.2">
      <c r="A48" s="3" t="s">
        <v>59</v>
      </c>
      <c r="B48" s="5" t="s">
        <v>60</v>
      </c>
      <c r="C48" s="3"/>
    </row>
    <row r="49" spans="1:3" x14ac:dyDescent="0.2">
      <c r="A49" s="3" t="s">
        <v>61</v>
      </c>
      <c r="B49" s="5" t="s">
        <v>8</v>
      </c>
      <c r="C49" s="3"/>
    </row>
    <row r="50" spans="1:3" x14ac:dyDescent="0.2">
      <c r="A50" s="5" t="s">
        <v>62</v>
      </c>
      <c r="B50" s="5" t="s">
        <v>3</v>
      </c>
      <c r="C50" s="3"/>
    </row>
    <row r="51" spans="1:3" x14ac:dyDescent="0.2">
      <c r="A51" s="3" t="s">
        <v>63</v>
      </c>
      <c r="B51" s="5" t="s">
        <v>46</v>
      </c>
      <c r="C51" s="3"/>
    </row>
    <row r="52" spans="1:3" x14ac:dyDescent="0.2">
      <c r="A52" s="3" t="s">
        <v>64</v>
      </c>
      <c r="B52" s="5" t="s">
        <v>8</v>
      </c>
      <c r="C52" s="3"/>
    </row>
    <row r="53" spans="1:3" x14ac:dyDescent="0.2">
      <c r="A53" s="3" t="s">
        <v>65</v>
      </c>
      <c r="B53" s="5" t="s">
        <v>8</v>
      </c>
      <c r="C53" s="3"/>
    </row>
    <row r="54" spans="1:3" x14ac:dyDescent="0.2">
      <c r="A54" s="3" t="s">
        <v>66</v>
      </c>
      <c r="B54" s="5" t="s">
        <v>3</v>
      </c>
      <c r="C54" s="3"/>
    </row>
    <row r="55" spans="1:3" x14ac:dyDescent="0.2">
      <c r="A55" s="3" t="s">
        <v>67</v>
      </c>
      <c r="B55" s="5" t="s">
        <v>3</v>
      </c>
      <c r="C55" s="3"/>
    </row>
    <row r="56" spans="1:3" x14ac:dyDescent="0.2">
      <c r="A56" s="3" t="s">
        <v>68</v>
      </c>
      <c r="B56" s="5" t="s">
        <v>13</v>
      </c>
      <c r="C56" s="3"/>
    </row>
    <row r="57" spans="1:3" x14ac:dyDescent="0.2">
      <c r="A57" s="3" t="s">
        <v>69</v>
      </c>
      <c r="B57" s="5" t="s">
        <v>3</v>
      </c>
      <c r="C57" s="3"/>
    </row>
    <row r="58" spans="1:3" x14ac:dyDescent="0.2">
      <c r="A58" s="5" t="s">
        <v>70</v>
      </c>
      <c r="B58" s="5" t="s">
        <v>3</v>
      </c>
      <c r="C58" s="3"/>
    </row>
    <row r="59" spans="1:3" x14ac:dyDescent="0.2">
      <c r="A59" s="5" t="s">
        <v>71</v>
      </c>
      <c r="B59" s="5" t="s">
        <v>3</v>
      </c>
      <c r="C59" s="3"/>
    </row>
    <row r="60" spans="1:3" x14ac:dyDescent="0.2">
      <c r="A60" s="3" t="s">
        <v>72</v>
      </c>
      <c r="B60" s="5" t="s">
        <v>8</v>
      </c>
      <c r="C60" s="3"/>
    </row>
    <row r="61" spans="1:3" x14ac:dyDescent="0.2">
      <c r="A61" s="5" t="s">
        <v>73</v>
      </c>
      <c r="B61" s="5" t="s">
        <v>3</v>
      </c>
      <c r="C61" s="3"/>
    </row>
    <row r="62" spans="1:3" x14ac:dyDescent="0.2">
      <c r="A62" s="3" t="s">
        <v>74</v>
      </c>
      <c r="B62" s="5" t="s">
        <v>3</v>
      </c>
      <c r="C62" s="3"/>
    </row>
    <row r="63" spans="1:3" x14ac:dyDescent="0.2">
      <c r="A63" s="3" t="s">
        <v>75</v>
      </c>
      <c r="B63" s="5" t="s">
        <v>3</v>
      </c>
      <c r="C63" s="3"/>
    </row>
    <row r="64" spans="1:3" x14ac:dyDescent="0.2">
      <c r="A64" s="5" t="s">
        <v>76</v>
      </c>
      <c r="B64" s="5" t="s">
        <v>26</v>
      </c>
      <c r="C64" s="3"/>
    </row>
    <row r="65" spans="1:3" x14ac:dyDescent="0.2">
      <c r="A65" s="3" t="s">
        <v>77</v>
      </c>
      <c r="B65" s="5" t="s">
        <v>3</v>
      </c>
      <c r="C65" s="3"/>
    </row>
    <row r="66" spans="1:3" x14ac:dyDescent="0.2">
      <c r="A66" s="5" t="s">
        <v>78</v>
      </c>
      <c r="B66" s="5" t="s">
        <v>3</v>
      </c>
      <c r="C66" s="3"/>
    </row>
    <row r="67" spans="1:3" x14ac:dyDescent="0.2">
      <c r="A67" s="3" t="s">
        <v>79</v>
      </c>
      <c r="B67" s="5" t="s">
        <v>8</v>
      </c>
      <c r="C67" s="3"/>
    </row>
    <row r="68" spans="1:3" x14ac:dyDescent="0.2">
      <c r="A68" s="3" t="s">
        <v>80</v>
      </c>
      <c r="B68" s="5" t="s">
        <v>8</v>
      </c>
      <c r="C68" s="3"/>
    </row>
    <row r="69" spans="1:3" x14ac:dyDescent="0.2">
      <c r="A69" s="3" t="s">
        <v>81</v>
      </c>
      <c r="B69" s="5" t="s">
        <v>8</v>
      </c>
      <c r="C69" s="3"/>
    </row>
    <row r="70" spans="1:3" x14ac:dyDescent="0.2">
      <c r="A70" s="3" t="s">
        <v>82</v>
      </c>
      <c r="B70" s="5" t="s">
        <v>10</v>
      </c>
      <c r="C70" s="3"/>
    </row>
    <row r="71" spans="1:3" x14ac:dyDescent="0.2">
      <c r="A71" s="5" t="s">
        <v>83</v>
      </c>
      <c r="B71" s="5" t="s">
        <v>84</v>
      </c>
      <c r="C71" s="3"/>
    </row>
    <row r="72" spans="1:3" x14ac:dyDescent="0.2">
      <c r="A72" s="5" t="s">
        <v>85</v>
      </c>
      <c r="B72" s="5" t="s">
        <v>26</v>
      </c>
      <c r="C72" s="3"/>
    </row>
    <row r="73" spans="1:3" x14ac:dyDescent="0.2">
      <c r="A73" s="5" t="s">
        <v>86</v>
      </c>
      <c r="B73" s="5" t="s">
        <v>26</v>
      </c>
      <c r="C73" s="3"/>
    </row>
    <row r="74" spans="1:3" x14ac:dyDescent="0.2">
      <c r="A74" s="3" t="s">
        <v>87</v>
      </c>
      <c r="B74" s="5" t="s">
        <v>8</v>
      </c>
      <c r="C74" s="3"/>
    </row>
    <row r="75" spans="1:3" x14ac:dyDescent="0.2">
      <c r="A75" s="3" t="s">
        <v>88</v>
      </c>
      <c r="B75" s="5" t="s">
        <v>23</v>
      </c>
      <c r="C75" s="3"/>
    </row>
    <row r="76" spans="1:3" x14ac:dyDescent="0.2">
      <c r="A76" s="3" t="s">
        <v>89</v>
      </c>
      <c r="B76" s="5" t="s">
        <v>23</v>
      </c>
      <c r="C76" s="3"/>
    </row>
    <row r="77" spans="1:3" x14ac:dyDescent="0.2">
      <c r="A77" s="3" t="s">
        <v>90</v>
      </c>
      <c r="B77" s="5" t="s">
        <v>3</v>
      </c>
      <c r="C77" s="3"/>
    </row>
    <row r="78" spans="1:3" x14ac:dyDescent="0.2">
      <c r="A78" s="5" t="s">
        <v>91</v>
      </c>
      <c r="B78" s="5" t="s">
        <v>3</v>
      </c>
      <c r="C78" s="3"/>
    </row>
    <row r="79" spans="1:3" x14ac:dyDescent="0.2">
      <c r="A79" s="3" t="s">
        <v>92</v>
      </c>
      <c r="B79" s="5" t="s">
        <v>8</v>
      </c>
      <c r="C79" s="3"/>
    </row>
    <row r="80" spans="1:3" x14ac:dyDescent="0.2">
      <c r="A80" s="3" t="s">
        <v>93</v>
      </c>
      <c r="B80" s="5" t="s">
        <v>3</v>
      </c>
      <c r="C80" s="3"/>
    </row>
    <row r="81" spans="1:3" x14ac:dyDescent="0.2">
      <c r="A81" s="5" t="s">
        <v>94</v>
      </c>
      <c r="B81" s="5" t="s">
        <v>3</v>
      </c>
      <c r="C81" s="3"/>
    </row>
    <row r="82" spans="1:3" x14ac:dyDescent="0.2">
      <c r="A82" s="3" t="s">
        <v>95</v>
      </c>
      <c r="B82" s="5" t="s">
        <v>3</v>
      </c>
      <c r="C82" s="3"/>
    </row>
    <row r="83" spans="1:3" x14ac:dyDescent="0.2">
      <c r="A83" s="5" t="s">
        <v>96</v>
      </c>
      <c r="B83" s="5" t="s">
        <v>3</v>
      </c>
      <c r="C83" s="3"/>
    </row>
    <row r="84" spans="1:3" x14ac:dyDescent="0.2">
      <c r="A84" s="3" t="s">
        <v>97</v>
      </c>
      <c r="B84" s="5" t="s">
        <v>3</v>
      </c>
      <c r="C84" s="3"/>
    </row>
    <row r="85" spans="1:3" x14ac:dyDescent="0.2">
      <c r="A85" s="3" t="s">
        <v>98</v>
      </c>
      <c r="B85" s="5" t="s">
        <v>3</v>
      </c>
      <c r="C85" s="3"/>
    </row>
    <row r="86" spans="1:3" x14ac:dyDescent="0.2">
      <c r="A86" s="3" t="s">
        <v>99</v>
      </c>
      <c r="B86" s="5" t="s">
        <v>3</v>
      </c>
      <c r="C86" s="3"/>
    </row>
    <row r="87" spans="1:3" x14ac:dyDescent="0.2">
      <c r="A87" s="3" t="s">
        <v>100</v>
      </c>
      <c r="B87" s="5" t="s">
        <v>3</v>
      </c>
      <c r="C87" s="3"/>
    </row>
    <row r="88" spans="1:3" x14ac:dyDescent="0.2">
      <c r="A88" s="3" t="s">
        <v>101</v>
      </c>
      <c r="B88" s="5" t="s">
        <v>3</v>
      </c>
      <c r="C88" s="3"/>
    </row>
    <row r="89" spans="1:3" x14ac:dyDescent="0.2">
      <c r="A89" s="5" t="s">
        <v>101</v>
      </c>
      <c r="B89" s="5" t="s">
        <v>3</v>
      </c>
      <c r="C89" s="3"/>
    </row>
    <row r="90" spans="1:3" x14ac:dyDescent="0.2">
      <c r="A90" s="3" t="s">
        <v>102</v>
      </c>
      <c r="B90" s="5" t="s">
        <v>3</v>
      </c>
      <c r="C90" s="3"/>
    </row>
    <row r="91" spans="1:3" x14ac:dyDescent="0.2">
      <c r="A91" s="3" t="s">
        <v>103</v>
      </c>
      <c r="B91" s="5" t="s">
        <v>50</v>
      </c>
      <c r="C91" s="3"/>
    </row>
    <row r="92" spans="1:3" x14ac:dyDescent="0.2">
      <c r="A92" s="5" t="s">
        <v>104</v>
      </c>
      <c r="B92" s="5" t="s">
        <v>50</v>
      </c>
      <c r="C92" s="3"/>
    </row>
    <row r="93" spans="1:3" x14ac:dyDescent="0.2">
      <c r="A93" s="3" t="s">
        <v>105</v>
      </c>
      <c r="B93" s="5" t="s">
        <v>3</v>
      </c>
      <c r="C93" s="3"/>
    </row>
    <row r="94" spans="1:3" x14ac:dyDescent="0.2">
      <c r="A94" s="5" t="s">
        <v>106</v>
      </c>
      <c r="B94" s="5" t="s">
        <v>3</v>
      </c>
      <c r="C94" s="3"/>
    </row>
    <row r="95" spans="1:3" x14ac:dyDescent="0.2">
      <c r="A95" s="5" t="s">
        <v>107</v>
      </c>
      <c r="B95" s="5" t="s">
        <v>3</v>
      </c>
      <c r="C95" s="3"/>
    </row>
    <row r="96" spans="1:3" x14ac:dyDescent="0.2">
      <c r="A96" s="3" t="s">
        <v>108</v>
      </c>
      <c r="B96" s="5" t="s">
        <v>3</v>
      </c>
      <c r="C96" s="3"/>
    </row>
    <row r="97" spans="1:3" x14ac:dyDescent="0.2">
      <c r="A97" s="3" t="s">
        <v>109</v>
      </c>
      <c r="B97" s="5" t="s">
        <v>26</v>
      </c>
      <c r="C97" s="3"/>
    </row>
    <row r="98" spans="1:3" x14ac:dyDescent="0.2">
      <c r="A98" s="3" t="s">
        <v>110</v>
      </c>
      <c r="B98" s="5" t="s">
        <v>3</v>
      </c>
      <c r="C98" s="3"/>
    </row>
    <row r="99" spans="1:3" x14ac:dyDescent="0.2">
      <c r="A99" s="5" t="s">
        <v>111</v>
      </c>
      <c r="B99" s="5" t="s">
        <v>3</v>
      </c>
      <c r="C99" s="3"/>
    </row>
    <row r="100" spans="1:3" x14ac:dyDescent="0.2">
      <c r="A100" s="3" t="s">
        <v>112</v>
      </c>
      <c r="B100" s="5" t="s">
        <v>8</v>
      </c>
      <c r="C100" s="3"/>
    </row>
    <row r="101" spans="1:3" x14ac:dyDescent="0.2">
      <c r="A101" s="3" t="s">
        <v>113</v>
      </c>
      <c r="B101" s="5" t="s">
        <v>8</v>
      </c>
      <c r="C101" s="3"/>
    </row>
    <row r="102" spans="1:3" x14ac:dyDescent="0.2">
      <c r="A102" s="3" t="s">
        <v>114</v>
      </c>
      <c r="B102" s="5" t="s">
        <v>23</v>
      </c>
      <c r="C102" s="3"/>
    </row>
    <row r="103" spans="1:3" x14ac:dyDescent="0.2">
      <c r="A103" s="3" t="s">
        <v>115</v>
      </c>
      <c r="B103" s="5" t="s">
        <v>8</v>
      </c>
      <c r="C103" s="3"/>
    </row>
    <row r="104" spans="1:3" x14ac:dyDescent="0.2">
      <c r="A104" s="3" t="s">
        <v>116</v>
      </c>
      <c r="B104" s="5" t="s">
        <v>3</v>
      </c>
      <c r="C104" s="3"/>
    </row>
    <row r="105" spans="1:3" x14ac:dyDescent="0.2">
      <c r="A105" s="3" t="s">
        <v>117</v>
      </c>
      <c r="B105" s="5" t="s">
        <v>8</v>
      </c>
      <c r="C105" s="3"/>
    </row>
    <row r="106" spans="1:3" x14ac:dyDescent="0.2">
      <c r="A106" s="3" t="s">
        <v>118</v>
      </c>
      <c r="B106" s="5" t="s">
        <v>3</v>
      </c>
      <c r="C106" s="3"/>
    </row>
    <row r="107" spans="1:3" x14ac:dyDescent="0.2">
      <c r="A107" s="5" t="s">
        <v>119</v>
      </c>
      <c r="B107" s="5" t="s">
        <v>3</v>
      </c>
      <c r="C107" s="3"/>
    </row>
    <row r="108" spans="1:3" x14ac:dyDescent="0.2">
      <c r="A108" s="5" t="s">
        <v>120</v>
      </c>
      <c r="B108" s="5" t="s">
        <v>3</v>
      </c>
      <c r="C108" s="3"/>
    </row>
    <row r="109" spans="1:3" x14ac:dyDescent="0.2">
      <c r="A109" s="3" t="s">
        <v>121</v>
      </c>
      <c r="B109" s="5" t="s">
        <v>46</v>
      </c>
      <c r="C109" s="3"/>
    </row>
    <row r="110" spans="1:3" x14ac:dyDescent="0.2">
      <c r="A110" s="3" t="s">
        <v>122</v>
      </c>
      <c r="B110" s="5" t="s">
        <v>23</v>
      </c>
      <c r="C110" s="3"/>
    </row>
    <row r="111" spans="1:3" x14ac:dyDescent="0.2">
      <c r="A111" s="3" t="s">
        <v>123</v>
      </c>
      <c r="B111" s="5" t="s">
        <v>23</v>
      </c>
      <c r="C111" s="3"/>
    </row>
    <row r="112" spans="1:3" x14ac:dyDescent="0.2">
      <c r="A112" s="5" t="s">
        <v>124</v>
      </c>
      <c r="B112" s="5" t="s">
        <v>3</v>
      </c>
      <c r="C112" s="3"/>
    </row>
    <row r="113" spans="1:3" x14ac:dyDescent="0.2">
      <c r="A113" s="3" t="s">
        <v>125</v>
      </c>
      <c r="B113" s="5" t="s">
        <v>26</v>
      </c>
      <c r="C113" s="3"/>
    </row>
    <row r="114" spans="1:3" x14ac:dyDescent="0.2">
      <c r="A114" s="3" t="s">
        <v>126</v>
      </c>
      <c r="B114" s="5" t="s">
        <v>13</v>
      </c>
      <c r="C114" s="3"/>
    </row>
    <row r="115" spans="1:3" x14ac:dyDescent="0.2">
      <c r="A115" s="3" t="s">
        <v>127</v>
      </c>
      <c r="B115" s="5" t="s">
        <v>3</v>
      </c>
      <c r="C115" s="3"/>
    </row>
    <row r="116" spans="1:3" x14ac:dyDescent="0.2">
      <c r="A116" s="3" t="s">
        <v>128</v>
      </c>
      <c r="B116" s="5" t="s">
        <v>8</v>
      </c>
      <c r="C116" s="3"/>
    </row>
    <row r="117" spans="1:3" x14ac:dyDescent="0.2">
      <c r="A117" s="5" t="s">
        <v>129</v>
      </c>
      <c r="B117" s="5" t="s">
        <v>60</v>
      </c>
      <c r="C117" s="3"/>
    </row>
    <row r="118" spans="1:3" x14ac:dyDescent="0.2">
      <c r="A118" s="3" t="s">
        <v>130</v>
      </c>
      <c r="B118" s="5" t="s">
        <v>131</v>
      </c>
      <c r="C118" s="3"/>
    </row>
    <row r="119" spans="1:3" x14ac:dyDescent="0.2">
      <c r="A119" s="3" t="s">
        <v>132</v>
      </c>
      <c r="B119" s="5" t="s">
        <v>8</v>
      </c>
      <c r="C119" s="3"/>
    </row>
    <row r="120" spans="1:3" x14ac:dyDescent="0.2">
      <c r="A120" s="3" t="s">
        <v>133</v>
      </c>
      <c r="B120" s="5" t="s">
        <v>3</v>
      </c>
      <c r="C120" s="3"/>
    </row>
    <row r="121" spans="1:3" x14ac:dyDescent="0.2">
      <c r="A121" s="5" t="s">
        <v>134</v>
      </c>
      <c r="B121" s="5" t="s">
        <v>3</v>
      </c>
      <c r="C121" s="3"/>
    </row>
    <row r="122" spans="1:3" x14ac:dyDescent="0.2">
      <c r="A122" s="3" t="s">
        <v>135</v>
      </c>
      <c r="B122" s="5" t="s">
        <v>8</v>
      </c>
      <c r="C122" s="3"/>
    </row>
    <row r="123" spans="1:3" x14ac:dyDescent="0.2">
      <c r="A123" s="3" t="s">
        <v>136</v>
      </c>
      <c r="B123" s="5" t="s">
        <v>3</v>
      </c>
      <c r="C123" s="3"/>
    </row>
    <row r="124" spans="1:3" x14ac:dyDescent="0.2">
      <c r="A124" s="3" t="s">
        <v>137</v>
      </c>
      <c r="B124" s="5" t="s">
        <v>3</v>
      </c>
      <c r="C124" s="3"/>
    </row>
    <row r="125" spans="1:3" x14ac:dyDescent="0.2">
      <c r="A125" s="3" t="s">
        <v>138</v>
      </c>
      <c r="B125" s="5" t="s">
        <v>3</v>
      </c>
      <c r="C125" s="3"/>
    </row>
    <row r="126" spans="1:3" x14ac:dyDescent="0.2">
      <c r="A126" s="5" t="s">
        <v>139</v>
      </c>
      <c r="B126" s="5" t="s">
        <v>26</v>
      </c>
      <c r="C126" s="3"/>
    </row>
    <row r="127" spans="1:3" x14ac:dyDescent="0.2">
      <c r="A127" s="3" t="s">
        <v>140</v>
      </c>
      <c r="B127" s="5" t="s">
        <v>3</v>
      </c>
      <c r="C127" s="3"/>
    </row>
    <row r="128" spans="1:3" x14ac:dyDescent="0.2">
      <c r="A128" s="3" t="s">
        <v>141</v>
      </c>
      <c r="B128" s="5" t="s">
        <v>3</v>
      </c>
      <c r="C128" s="3"/>
    </row>
    <row r="129" spans="1:3" x14ac:dyDescent="0.2">
      <c r="A129" s="3" t="s">
        <v>142</v>
      </c>
      <c r="B129" s="5" t="s">
        <v>3</v>
      </c>
      <c r="C129" s="3"/>
    </row>
    <row r="130" spans="1:3" x14ac:dyDescent="0.2">
      <c r="A130" s="3" t="s">
        <v>143</v>
      </c>
      <c r="B130" s="5" t="s">
        <v>8</v>
      </c>
      <c r="C130" s="3"/>
    </row>
    <row r="131" spans="1:3" x14ac:dyDescent="0.2">
      <c r="A131" s="5" t="s">
        <v>144</v>
      </c>
      <c r="B131" s="5" t="s">
        <v>13</v>
      </c>
      <c r="C131" s="3"/>
    </row>
    <row r="132" spans="1:3" x14ac:dyDescent="0.2">
      <c r="A132" s="3" t="s">
        <v>145</v>
      </c>
      <c r="B132" s="5" t="s">
        <v>46</v>
      </c>
      <c r="C132" s="3"/>
    </row>
    <row r="133" spans="1:3" x14ac:dyDescent="0.2">
      <c r="A133" s="3" t="s">
        <v>146</v>
      </c>
      <c r="B133" s="5" t="s">
        <v>3</v>
      </c>
      <c r="C133" s="3"/>
    </row>
    <row r="134" spans="1:3" x14ac:dyDescent="0.2">
      <c r="A134" s="3" t="s">
        <v>147</v>
      </c>
      <c r="B134" s="5" t="s">
        <v>3</v>
      </c>
      <c r="C134" s="3"/>
    </row>
    <row r="135" spans="1:3" x14ac:dyDescent="0.2">
      <c r="A135" s="3" t="s">
        <v>148</v>
      </c>
      <c r="B135" s="5" t="s">
        <v>149</v>
      </c>
      <c r="C135" s="3"/>
    </row>
    <row r="136" spans="1:3" x14ac:dyDescent="0.2">
      <c r="A136" s="3" t="s">
        <v>150</v>
      </c>
      <c r="B136" s="5" t="s">
        <v>26</v>
      </c>
      <c r="C136" s="3"/>
    </row>
    <row r="137" spans="1:3" x14ac:dyDescent="0.2">
      <c r="A137" s="3" t="s">
        <v>151</v>
      </c>
      <c r="B137" s="5" t="s">
        <v>149</v>
      </c>
      <c r="C137" s="3"/>
    </row>
    <row r="138" spans="1:3" x14ac:dyDescent="0.2">
      <c r="A138" s="3" t="s">
        <v>152</v>
      </c>
      <c r="B138" s="5" t="s">
        <v>13</v>
      </c>
      <c r="C138" s="3"/>
    </row>
    <row r="139" spans="1:3" x14ac:dyDescent="0.2">
      <c r="A139" s="5" t="s">
        <v>153</v>
      </c>
      <c r="B139" s="5" t="s">
        <v>3</v>
      </c>
      <c r="C139" s="3"/>
    </row>
    <row r="140" spans="1:3" x14ac:dyDescent="0.2">
      <c r="A140" s="3" t="s">
        <v>154</v>
      </c>
      <c r="B140" s="5" t="s">
        <v>3</v>
      </c>
      <c r="C140" s="3"/>
    </row>
    <row r="141" spans="1:3" x14ac:dyDescent="0.2">
      <c r="A141" s="3" t="s">
        <v>155</v>
      </c>
      <c r="B141" s="5" t="s">
        <v>3</v>
      </c>
      <c r="C141" s="3"/>
    </row>
    <row r="142" spans="1:3" x14ac:dyDescent="0.2">
      <c r="A142" s="3" t="s">
        <v>156</v>
      </c>
      <c r="B142" s="5" t="s">
        <v>3</v>
      </c>
      <c r="C142" s="3"/>
    </row>
    <row r="143" spans="1:3" x14ac:dyDescent="0.2">
      <c r="A143" s="3" t="s">
        <v>157</v>
      </c>
      <c r="B143" s="5" t="s">
        <v>46</v>
      </c>
      <c r="C143" s="3"/>
    </row>
    <row r="144" spans="1:3" x14ac:dyDescent="0.2">
      <c r="A144" s="5" t="s">
        <v>158</v>
      </c>
      <c r="B144" s="5" t="s">
        <v>3</v>
      </c>
      <c r="C144" s="3"/>
    </row>
    <row r="145" spans="1:3" x14ac:dyDescent="0.2">
      <c r="A145" s="3" t="s">
        <v>159</v>
      </c>
      <c r="B145" s="5" t="s">
        <v>3</v>
      </c>
      <c r="C145" s="3"/>
    </row>
    <row r="146" spans="1:3" x14ac:dyDescent="0.2">
      <c r="A146" s="3" t="s">
        <v>160</v>
      </c>
      <c r="B146" s="5" t="s">
        <v>3</v>
      </c>
      <c r="C146" s="3"/>
    </row>
    <row r="147" spans="1:3" x14ac:dyDescent="0.2">
      <c r="A147" s="3" t="s">
        <v>161</v>
      </c>
      <c r="B147" s="5" t="s">
        <v>3</v>
      </c>
      <c r="C147" s="3"/>
    </row>
    <row r="148" spans="1:3" x14ac:dyDescent="0.2">
      <c r="A148" s="3" t="s">
        <v>162</v>
      </c>
      <c r="B148" s="5" t="s">
        <v>3</v>
      </c>
      <c r="C148" s="3"/>
    </row>
    <row r="149" spans="1:3" x14ac:dyDescent="0.2">
      <c r="A149" s="5" t="s">
        <v>163</v>
      </c>
      <c r="B149" s="5" t="s">
        <v>3</v>
      </c>
      <c r="C149" s="3"/>
    </row>
    <row r="150" spans="1:3" x14ac:dyDescent="0.2">
      <c r="A150" s="3" t="s">
        <v>164</v>
      </c>
      <c r="B150" s="5" t="s">
        <v>46</v>
      </c>
      <c r="C150" s="3"/>
    </row>
    <row r="151" spans="1:3" x14ac:dyDescent="0.2">
      <c r="A151" s="3" t="s">
        <v>165</v>
      </c>
      <c r="B151" s="5" t="s">
        <v>3</v>
      </c>
      <c r="C151" s="3"/>
    </row>
    <row r="152" spans="1:3" x14ac:dyDescent="0.2">
      <c r="A152" s="3" t="s">
        <v>166</v>
      </c>
      <c r="B152" s="5" t="s">
        <v>3</v>
      </c>
      <c r="C152" s="3"/>
    </row>
    <row r="153" spans="1:3" x14ac:dyDescent="0.2">
      <c r="A153" s="3" t="s">
        <v>167</v>
      </c>
      <c r="B153" s="5" t="s">
        <v>3</v>
      </c>
      <c r="C153" s="3"/>
    </row>
    <row r="154" spans="1:3" x14ac:dyDescent="0.2">
      <c r="A154" s="3" t="s">
        <v>168</v>
      </c>
      <c r="B154" s="5" t="s">
        <v>169</v>
      </c>
      <c r="C154" s="3"/>
    </row>
    <row r="155" spans="1:3" x14ac:dyDescent="0.2">
      <c r="A155" s="3" t="s">
        <v>170</v>
      </c>
      <c r="B155" s="5" t="s">
        <v>171</v>
      </c>
      <c r="C155" s="3"/>
    </row>
    <row r="156" spans="1:3" x14ac:dyDescent="0.2">
      <c r="A156" s="3" t="s">
        <v>172</v>
      </c>
      <c r="B156" s="5" t="s">
        <v>23</v>
      </c>
      <c r="C156" s="3"/>
    </row>
    <row r="157" spans="1:3" x14ac:dyDescent="0.2">
      <c r="A157" s="5" t="s">
        <v>173</v>
      </c>
      <c r="B157" s="5" t="s">
        <v>3</v>
      </c>
      <c r="C157" s="3"/>
    </row>
    <row r="158" spans="1:3" x14ac:dyDescent="0.2">
      <c r="A158" s="3" t="s">
        <v>174</v>
      </c>
      <c r="B158" s="5" t="s">
        <v>23</v>
      </c>
      <c r="C158" s="3"/>
    </row>
    <row r="159" spans="1:3" x14ac:dyDescent="0.2">
      <c r="A159" s="5" t="s">
        <v>175</v>
      </c>
      <c r="B159" s="5" t="s">
        <v>3</v>
      </c>
      <c r="C159" s="3"/>
    </row>
    <row r="160" spans="1:3" x14ac:dyDescent="0.2">
      <c r="A160" s="3" t="s">
        <v>176</v>
      </c>
      <c r="B160" s="5" t="s">
        <v>3</v>
      </c>
      <c r="C160" s="3"/>
    </row>
    <row r="161" spans="1:3" x14ac:dyDescent="0.2">
      <c r="A161" s="5" t="s">
        <v>177</v>
      </c>
      <c r="B161" s="5" t="s">
        <v>3</v>
      </c>
      <c r="C161" s="3"/>
    </row>
    <row r="162" spans="1:3" x14ac:dyDescent="0.2">
      <c r="A162" s="3" t="s">
        <v>178</v>
      </c>
      <c r="B162" s="5" t="s">
        <v>23</v>
      </c>
      <c r="C162" s="3"/>
    </row>
    <row r="163" spans="1:3" x14ac:dyDescent="0.2">
      <c r="A163" s="3" t="s">
        <v>179</v>
      </c>
      <c r="B163" s="5" t="s">
        <v>3</v>
      </c>
      <c r="C163" s="3"/>
    </row>
    <row r="164" spans="1:3" x14ac:dyDescent="0.2">
      <c r="A164" s="5" t="s">
        <v>180</v>
      </c>
      <c r="B164" s="5" t="s">
        <v>181</v>
      </c>
      <c r="C164" s="3"/>
    </row>
    <row r="165" spans="1:3" x14ac:dyDescent="0.2">
      <c r="A165" s="5" t="s">
        <v>182</v>
      </c>
      <c r="B165" s="5" t="s">
        <v>26</v>
      </c>
      <c r="C165" s="3"/>
    </row>
    <row r="166" spans="1:3" x14ac:dyDescent="0.2">
      <c r="A166" s="3" t="s">
        <v>183</v>
      </c>
      <c r="B166" s="5" t="s">
        <v>3</v>
      </c>
      <c r="C166" s="3"/>
    </row>
    <row r="167" spans="1:3" x14ac:dyDescent="0.2">
      <c r="A167" s="3" t="s">
        <v>184</v>
      </c>
      <c r="B167" s="5" t="s">
        <v>46</v>
      </c>
      <c r="C167" s="3"/>
    </row>
    <row r="168" spans="1:3" x14ac:dyDescent="0.2">
      <c r="A168" s="3" t="s">
        <v>185</v>
      </c>
      <c r="B168" s="5" t="s">
        <v>46</v>
      </c>
      <c r="C168" s="3"/>
    </row>
    <row r="169" spans="1:3" x14ac:dyDescent="0.2">
      <c r="A169" s="3" t="s">
        <v>186</v>
      </c>
      <c r="B169" s="5" t="s">
        <v>3</v>
      </c>
      <c r="C169" s="3"/>
    </row>
    <row r="170" spans="1:3" x14ac:dyDescent="0.2">
      <c r="A170" s="3" t="s">
        <v>187</v>
      </c>
      <c r="B170" s="5" t="s">
        <v>3</v>
      </c>
      <c r="C170" s="3"/>
    </row>
    <row r="171" spans="1:3" x14ac:dyDescent="0.2">
      <c r="A171" s="3" t="s">
        <v>188</v>
      </c>
      <c r="B171" s="5" t="s">
        <v>3</v>
      </c>
      <c r="C171" s="3"/>
    </row>
    <row r="172" spans="1:3" x14ac:dyDescent="0.2">
      <c r="A172" s="3" t="s">
        <v>189</v>
      </c>
      <c r="B172" s="5" t="s">
        <v>3</v>
      </c>
      <c r="C172" s="3"/>
    </row>
    <row r="173" spans="1:3" x14ac:dyDescent="0.2">
      <c r="A173" s="5" t="s">
        <v>190</v>
      </c>
      <c r="B173" s="5" t="s">
        <v>26</v>
      </c>
      <c r="C173" s="3"/>
    </row>
    <row r="174" spans="1:3" x14ac:dyDescent="0.2">
      <c r="A174" s="3" t="s">
        <v>191</v>
      </c>
      <c r="B174" s="5" t="s">
        <v>3</v>
      </c>
      <c r="C174" s="3"/>
    </row>
    <row r="175" spans="1:3" x14ac:dyDescent="0.2">
      <c r="A175" s="5" t="s">
        <v>192</v>
      </c>
      <c r="B175" s="5" t="s">
        <v>3</v>
      </c>
      <c r="C175" s="3"/>
    </row>
    <row r="176" spans="1:3" x14ac:dyDescent="0.2">
      <c r="A176" s="3" t="s">
        <v>193</v>
      </c>
      <c r="B176" s="5" t="s">
        <v>46</v>
      </c>
      <c r="C176" s="3"/>
    </row>
    <row r="177" spans="1:3" x14ac:dyDescent="0.2">
      <c r="A177" s="3" t="s">
        <v>194</v>
      </c>
      <c r="B177" s="5" t="s">
        <v>3</v>
      </c>
      <c r="C177" s="3"/>
    </row>
    <row r="178" spans="1:3" x14ac:dyDescent="0.2">
      <c r="A178" s="5" t="s">
        <v>195</v>
      </c>
      <c r="B178" s="5" t="s">
        <v>46</v>
      </c>
      <c r="C178" s="3"/>
    </row>
    <row r="179" spans="1:3" x14ac:dyDescent="0.2">
      <c r="A179" s="3" t="s">
        <v>196</v>
      </c>
      <c r="B179" s="5" t="s">
        <v>3</v>
      </c>
      <c r="C179" s="3"/>
    </row>
    <row r="180" spans="1:3" x14ac:dyDescent="0.2">
      <c r="A180" s="5" t="s">
        <v>197</v>
      </c>
      <c r="B180" s="5" t="s">
        <v>3</v>
      </c>
      <c r="C180" s="3"/>
    </row>
    <row r="181" spans="1:3" x14ac:dyDescent="0.2">
      <c r="A181" s="5" t="s">
        <v>198</v>
      </c>
      <c r="B181" s="5" t="s">
        <v>8</v>
      </c>
      <c r="C181" s="3"/>
    </row>
    <row r="182" spans="1:3" x14ac:dyDescent="0.2">
      <c r="A182" s="5" t="s">
        <v>199</v>
      </c>
      <c r="B182" s="5" t="s">
        <v>3</v>
      </c>
      <c r="C182" s="3"/>
    </row>
    <row r="183" spans="1:3" x14ac:dyDescent="0.2">
      <c r="A183" s="3" t="s">
        <v>200</v>
      </c>
      <c r="B183" s="5" t="s">
        <v>3</v>
      </c>
      <c r="C183" s="3"/>
    </row>
    <row r="184" spans="1:3" x14ac:dyDescent="0.2">
      <c r="A184" s="5" t="s">
        <v>201</v>
      </c>
      <c r="B184" s="5" t="s">
        <v>3</v>
      </c>
      <c r="C184" s="3"/>
    </row>
    <row r="185" spans="1:3" x14ac:dyDescent="0.2">
      <c r="A185" s="3" t="s">
        <v>202</v>
      </c>
      <c r="B185" s="5" t="s">
        <v>3</v>
      </c>
      <c r="C185" s="3"/>
    </row>
    <row r="186" spans="1:3" x14ac:dyDescent="0.2">
      <c r="A186" s="3" t="s">
        <v>203</v>
      </c>
      <c r="B186" s="5" t="s">
        <v>3</v>
      </c>
      <c r="C186" s="3"/>
    </row>
    <row r="187" spans="1:3" x14ac:dyDescent="0.2">
      <c r="A187" s="5" t="s">
        <v>204</v>
      </c>
      <c r="B187" s="5" t="s">
        <v>3</v>
      </c>
      <c r="C187" s="3"/>
    </row>
    <row r="188" spans="1:3" x14ac:dyDescent="0.2">
      <c r="A188" s="3" t="s">
        <v>205</v>
      </c>
      <c r="B188" s="5" t="s">
        <v>13</v>
      </c>
      <c r="C188" s="3"/>
    </row>
    <row r="189" spans="1:3" x14ac:dyDescent="0.2">
      <c r="A189" s="3" t="s">
        <v>206</v>
      </c>
      <c r="B189" s="5" t="s">
        <v>26</v>
      </c>
      <c r="C189" s="3"/>
    </row>
    <row r="190" spans="1:3" x14ac:dyDescent="0.2">
      <c r="A190" s="3" t="s">
        <v>207</v>
      </c>
      <c r="B190" s="5" t="s">
        <v>23</v>
      </c>
      <c r="C190" s="3"/>
    </row>
    <row r="191" spans="1:3" x14ac:dyDescent="0.2">
      <c r="A191" s="5" t="s">
        <v>208</v>
      </c>
      <c r="B191" s="5" t="s">
        <v>3</v>
      </c>
      <c r="C191" s="3"/>
    </row>
    <row r="192" spans="1:3" x14ac:dyDescent="0.2">
      <c r="A192" s="3" t="s">
        <v>209</v>
      </c>
      <c r="B192" s="5" t="s">
        <v>46</v>
      </c>
      <c r="C192" s="3"/>
    </row>
    <row r="193" spans="1:3" x14ac:dyDescent="0.2">
      <c r="A193" s="3" t="s">
        <v>210</v>
      </c>
      <c r="B193" s="5" t="s">
        <v>46</v>
      </c>
      <c r="C193" s="3"/>
    </row>
    <row r="194" spans="1:3" x14ac:dyDescent="0.2">
      <c r="A194" s="5" t="s">
        <v>211</v>
      </c>
      <c r="B194" s="5" t="s">
        <v>3</v>
      </c>
      <c r="C194" s="3"/>
    </row>
    <row r="195" spans="1:3" x14ac:dyDescent="0.2">
      <c r="A195" s="3" t="s">
        <v>212</v>
      </c>
      <c r="B195" s="5" t="s">
        <v>13</v>
      </c>
      <c r="C195" s="3"/>
    </row>
    <row r="196" spans="1:3" x14ac:dyDescent="0.2">
      <c r="A196" s="3" t="s">
        <v>213</v>
      </c>
      <c r="B196" s="5" t="s">
        <v>3</v>
      </c>
      <c r="C196" s="3"/>
    </row>
    <row r="197" spans="1:3" x14ac:dyDescent="0.2">
      <c r="A197" s="5" t="s">
        <v>214</v>
      </c>
      <c r="B197" s="5" t="s">
        <v>3</v>
      </c>
      <c r="C197" s="3"/>
    </row>
    <row r="198" spans="1:3" x14ac:dyDescent="0.2">
      <c r="A198" s="3" t="s">
        <v>215</v>
      </c>
      <c r="B198" s="5" t="s">
        <v>23</v>
      </c>
      <c r="C198" s="3"/>
    </row>
    <row r="199" spans="1:3" x14ac:dyDescent="0.2">
      <c r="A199" s="3" t="s">
        <v>216</v>
      </c>
      <c r="B199" s="5" t="s">
        <v>3</v>
      </c>
      <c r="C199" s="3"/>
    </row>
    <row r="200" spans="1:3" x14ac:dyDescent="0.2">
      <c r="A200" s="3" t="s">
        <v>217</v>
      </c>
      <c r="B200" s="5" t="s">
        <v>13</v>
      </c>
      <c r="C200" s="3"/>
    </row>
    <row r="201" spans="1:3" x14ac:dyDescent="0.2">
      <c r="A201" s="3" t="s">
        <v>218</v>
      </c>
      <c r="B201" s="5" t="s">
        <v>3</v>
      </c>
      <c r="C201" s="3"/>
    </row>
    <row r="202" spans="1:3" x14ac:dyDescent="0.2">
      <c r="A202" s="3" t="s">
        <v>219</v>
      </c>
      <c r="B202" s="5" t="s">
        <v>3</v>
      </c>
      <c r="C202" s="3"/>
    </row>
    <row r="203" spans="1:3" x14ac:dyDescent="0.2">
      <c r="A203" s="5" t="s">
        <v>220</v>
      </c>
      <c r="B203" s="5" t="s">
        <v>3</v>
      </c>
      <c r="C203" s="3"/>
    </row>
    <row r="204" spans="1:3" x14ac:dyDescent="0.2">
      <c r="A204" s="3" t="s">
        <v>221</v>
      </c>
      <c r="B204" s="5" t="s">
        <v>26</v>
      </c>
      <c r="C204" s="3"/>
    </row>
    <row r="205" spans="1:3" x14ac:dyDescent="0.2">
      <c r="A205" s="5" t="s">
        <v>222</v>
      </c>
      <c r="B205" s="5" t="s">
        <v>3</v>
      </c>
      <c r="C205" s="3"/>
    </row>
    <row r="206" spans="1:3" x14ac:dyDescent="0.2">
      <c r="A206" s="3" t="s">
        <v>223</v>
      </c>
      <c r="B206" s="5" t="s">
        <v>26</v>
      </c>
      <c r="C206" s="3"/>
    </row>
    <row r="207" spans="1:3" x14ac:dyDescent="0.2">
      <c r="A207" s="5" t="s">
        <v>224</v>
      </c>
      <c r="B207" s="5" t="s">
        <v>3</v>
      </c>
      <c r="C207" s="3"/>
    </row>
    <row r="208" spans="1:3" x14ac:dyDescent="0.2">
      <c r="A208" s="5" t="s">
        <v>225</v>
      </c>
      <c r="B208" s="5" t="s">
        <v>3</v>
      </c>
      <c r="C208" s="3"/>
    </row>
    <row r="209" spans="1:3" x14ac:dyDescent="0.2">
      <c r="A209" s="3" t="s">
        <v>226</v>
      </c>
      <c r="B209" s="5" t="s">
        <v>3</v>
      </c>
      <c r="C209" s="3"/>
    </row>
    <row r="210" spans="1:3" x14ac:dyDescent="0.2">
      <c r="A210" s="3" t="s">
        <v>227</v>
      </c>
      <c r="B210" s="5" t="s">
        <v>13</v>
      </c>
      <c r="C210" s="3"/>
    </row>
    <row r="211" spans="1:3" x14ac:dyDescent="0.2">
      <c r="A211" s="5" t="s">
        <v>228</v>
      </c>
      <c r="B211" s="5" t="s">
        <v>229</v>
      </c>
      <c r="C211" s="3"/>
    </row>
    <row r="212" spans="1:3" x14ac:dyDescent="0.2">
      <c r="A212" s="3" t="s">
        <v>230</v>
      </c>
      <c r="B212" s="5" t="s">
        <v>13</v>
      </c>
      <c r="C212" s="3"/>
    </row>
    <row r="213" spans="1:3" x14ac:dyDescent="0.2">
      <c r="A213" s="5" t="s">
        <v>231</v>
      </c>
      <c r="B213" s="5" t="s">
        <v>3</v>
      </c>
      <c r="C213" s="3"/>
    </row>
    <row r="214" spans="1:3" x14ac:dyDescent="0.2">
      <c r="A214" s="5" t="s">
        <v>232</v>
      </c>
      <c r="B214" s="5" t="s">
        <v>3</v>
      </c>
      <c r="C214" s="3"/>
    </row>
    <row r="215" spans="1:3" x14ac:dyDescent="0.2">
      <c r="A215" s="3" t="s">
        <v>233</v>
      </c>
      <c r="B215" s="5" t="s">
        <v>3</v>
      </c>
      <c r="C215" s="3"/>
    </row>
    <row r="216" spans="1:3" x14ac:dyDescent="0.2">
      <c r="A216" s="5" t="s">
        <v>234</v>
      </c>
      <c r="B216" s="5" t="s">
        <v>169</v>
      </c>
      <c r="C216" s="3"/>
    </row>
    <row r="217" spans="1:3" x14ac:dyDescent="0.2">
      <c r="A217" s="3" t="s">
        <v>235</v>
      </c>
      <c r="B217" s="5" t="s">
        <v>26</v>
      </c>
      <c r="C217" s="3"/>
    </row>
    <row r="218" spans="1:3" x14ac:dyDescent="0.2">
      <c r="A218" s="3" t="s">
        <v>236</v>
      </c>
      <c r="B218" s="5" t="s">
        <v>46</v>
      </c>
      <c r="C218" s="3"/>
    </row>
    <row r="219" spans="1:3" x14ac:dyDescent="0.2">
      <c r="A219" s="5" t="s">
        <v>237</v>
      </c>
      <c r="B219" s="5" t="s">
        <v>3</v>
      </c>
      <c r="C219" s="3"/>
    </row>
    <row r="220" spans="1:3" x14ac:dyDescent="0.2">
      <c r="A220" s="5" t="s">
        <v>238</v>
      </c>
      <c r="B220" s="5" t="s">
        <v>3</v>
      </c>
      <c r="C220" s="3"/>
    </row>
    <row r="221" spans="1:3" x14ac:dyDescent="0.2">
      <c r="A221" s="5" t="s">
        <v>239</v>
      </c>
      <c r="B221" s="5" t="s">
        <v>3</v>
      </c>
      <c r="C221" s="3"/>
    </row>
    <row r="222" spans="1:3" x14ac:dyDescent="0.2">
      <c r="A222" s="5" t="s">
        <v>240</v>
      </c>
      <c r="B222" s="5" t="s">
        <v>3</v>
      </c>
      <c r="C222" s="3"/>
    </row>
    <row r="223" spans="1:3" x14ac:dyDescent="0.2">
      <c r="A223" s="5" t="s">
        <v>241</v>
      </c>
      <c r="B223" s="5" t="s">
        <v>3</v>
      </c>
      <c r="C223" s="3"/>
    </row>
    <row r="224" spans="1:3" x14ac:dyDescent="0.2">
      <c r="A224" s="5" t="s">
        <v>242</v>
      </c>
      <c r="B224" s="5" t="s">
        <v>3</v>
      </c>
      <c r="C224" s="3"/>
    </row>
    <row r="225" spans="1:3" x14ac:dyDescent="0.2">
      <c r="A225" s="5" t="s">
        <v>243</v>
      </c>
      <c r="B225" s="5" t="s">
        <v>3</v>
      </c>
      <c r="C225" s="3"/>
    </row>
    <row r="226" spans="1:3" x14ac:dyDescent="0.2">
      <c r="A226" s="5" t="s">
        <v>244</v>
      </c>
      <c r="B226" s="5" t="s">
        <v>3</v>
      </c>
      <c r="C226" s="3"/>
    </row>
    <row r="227" spans="1:3" x14ac:dyDescent="0.2">
      <c r="A227" s="3" t="s">
        <v>245</v>
      </c>
      <c r="B227" s="5" t="s">
        <v>26</v>
      </c>
      <c r="C227" s="3"/>
    </row>
    <row r="228" spans="1:3" x14ac:dyDescent="0.2">
      <c r="A228" s="3" t="s">
        <v>246</v>
      </c>
      <c r="B228" s="5" t="s">
        <v>3</v>
      </c>
      <c r="C228" s="3"/>
    </row>
    <row r="229" spans="1:3" x14ac:dyDescent="0.2">
      <c r="A229" s="3" t="s">
        <v>247</v>
      </c>
      <c r="B229" s="5" t="s">
        <v>3</v>
      </c>
      <c r="C229" s="3"/>
    </row>
    <row r="230" spans="1:3" x14ac:dyDescent="0.2">
      <c r="A230" s="3" t="s">
        <v>248</v>
      </c>
      <c r="B230" s="5" t="s">
        <v>46</v>
      </c>
      <c r="C230" s="3"/>
    </row>
    <row r="231" spans="1:3" x14ac:dyDescent="0.2">
      <c r="A231" s="3" t="s">
        <v>249</v>
      </c>
      <c r="B231" s="5" t="s">
        <v>8</v>
      </c>
      <c r="C231" s="3"/>
    </row>
    <row r="232" spans="1:3" x14ac:dyDescent="0.2">
      <c r="A232" s="3" t="s">
        <v>250</v>
      </c>
      <c r="B232" s="5" t="s">
        <v>13</v>
      </c>
      <c r="C232" s="3"/>
    </row>
    <row r="233" spans="1:3" x14ac:dyDescent="0.2">
      <c r="A233" s="3" t="s">
        <v>251</v>
      </c>
      <c r="B233" s="5" t="s">
        <v>13</v>
      </c>
      <c r="C233" s="3"/>
    </row>
    <row r="234" spans="1:3" x14ac:dyDescent="0.2">
      <c r="A234" s="3" t="s">
        <v>252</v>
      </c>
      <c r="B234" s="5" t="s">
        <v>26</v>
      </c>
      <c r="C234" s="3"/>
    </row>
    <row r="235" spans="1:3" x14ac:dyDescent="0.2">
      <c r="A235" s="5" t="s">
        <v>253</v>
      </c>
      <c r="B235" s="5" t="s">
        <v>3</v>
      </c>
      <c r="C235" s="3"/>
    </row>
    <row r="236" spans="1:3" x14ac:dyDescent="0.2">
      <c r="A236" s="3" t="s">
        <v>254</v>
      </c>
      <c r="B236" s="5" t="s">
        <v>3</v>
      </c>
      <c r="C236" s="3"/>
    </row>
    <row r="237" spans="1:3" x14ac:dyDescent="0.2">
      <c r="A237" s="3" t="s">
        <v>255</v>
      </c>
      <c r="B237" s="5" t="s">
        <v>26</v>
      </c>
      <c r="C237" s="3"/>
    </row>
    <row r="238" spans="1:3" x14ac:dyDescent="0.2">
      <c r="A238" s="3" t="s">
        <v>256</v>
      </c>
      <c r="B238" s="5" t="s">
        <v>3</v>
      </c>
      <c r="C238" s="3"/>
    </row>
    <row r="239" spans="1:3" x14ac:dyDescent="0.2">
      <c r="A239" s="5" t="s">
        <v>257</v>
      </c>
      <c r="B239" s="5" t="s">
        <v>3</v>
      </c>
      <c r="C239" s="3"/>
    </row>
    <row r="240" spans="1:3" x14ac:dyDescent="0.2">
      <c r="A240" s="3" t="s">
        <v>258</v>
      </c>
      <c r="B240" s="5" t="s">
        <v>13</v>
      </c>
      <c r="C240" s="3"/>
    </row>
    <row r="241" spans="1:3" x14ac:dyDescent="0.2">
      <c r="A241" s="3" t="s">
        <v>259</v>
      </c>
      <c r="B241" s="5" t="s">
        <v>46</v>
      </c>
      <c r="C241" s="3"/>
    </row>
    <row r="242" spans="1:3" x14ac:dyDescent="0.2">
      <c r="A242" s="3" t="s">
        <v>260</v>
      </c>
      <c r="B242" s="5" t="s">
        <v>3</v>
      </c>
      <c r="C242" s="3"/>
    </row>
    <row r="243" spans="1:3" x14ac:dyDescent="0.2">
      <c r="A243" s="5" t="s">
        <v>261</v>
      </c>
      <c r="B243" s="5" t="s">
        <v>3</v>
      </c>
      <c r="C243" s="3"/>
    </row>
    <row r="244" spans="1:3" x14ac:dyDescent="0.2">
      <c r="A244" s="3" t="s">
        <v>262</v>
      </c>
      <c r="B244" s="5" t="s">
        <v>3</v>
      </c>
      <c r="C244" s="3"/>
    </row>
    <row r="245" spans="1:3" x14ac:dyDescent="0.2">
      <c r="A245" s="3" t="s">
        <v>263</v>
      </c>
      <c r="B245" s="5" t="s">
        <v>3</v>
      </c>
      <c r="C245" s="3"/>
    </row>
    <row r="246" spans="1:3" x14ac:dyDescent="0.2">
      <c r="A246" s="3" t="s">
        <v>264</v>
      </c>
      <c r="B246" s="5" t="s">
        <v>46</v>
      </c>
      <c r="C246" s="3"/>
    </row>
    <row r="247" spans="1:3" x14ac:dyDescent="0.2">
      <c r="A247" s="3" t="s">
        <v>265</v>
      </c>
      <c r="B247" s="5" t="s">
        <v>3</v>
      </c>
      <c r="C247" s="3"/>
    </row>
    <row r="248" spans="1:3" x14ac:dyDescent="0.2">
      <c r="A248" s="5" t="s">
        <v>266</v>
      </c>
      <c r="B248" s="5" t="s">
        <v>3</v>
      </c>
      <c r="C248" s="3"/>
    </row>
    <row r="249" spans="1:3" x14ac:dyDescent="0.2">
      <c r="A249" s="5" t="s">
        <v>267</v>
      </c>
      <c r="B249" s="5" t="s">
        <v>3</v>
      </c>
      <c r="C249" s="3"/>
    </row>
    <row r="250" spans="1:3" x14ac:dyDescent="0.2">
      <c r="A250" s="5" t="s">
        <v>268</v>
      </c>
      <c r="B250" s="5" t="s">
        <v>3</v>
      </c>
      <c r="C250" s="3"/>
    </row>
    <row r="251" spans="1:3" x14ac:dyDescent="0.2">
      <c r="A251" s="5" t="s">
        <v>269</v>
      </c>
      <c r="B251" s="5" t="s">
        <v>3</v>
      </c>
      <c r="C251" s="3"/>
    </row>
    <row r="252" spans="1:3" x14ac:dyDescent="0.2">
      <c r="A252" s="3" t="s">
        <v>270</v>
      </c>
      <c r="B252" s="5" t="s">
        <v>3</v>
      </c>
      <c r="C252" s="3"/>
    </row>
    <row r="253" spans="1:3" x14ac:dyDescent="0.2">
      <c r="A253" s="3" t="s">
        <v>271</v>
      </c>
      <c r="B253" s="5" t="s">
        <v>13</v>
      </c>
      <c r="C253" s="3"/>
    </row>
    <row r="254" spans="1:3" x14ac:dyDescent="0.2">
      <c r="A254" s="3" t="s">
        <v>272</v>
      </c>
      <c r="B254" s="5" t="s">
        <v>3</v>
      </c>
      <c r="C254" s="3"/>
    </row>
    <row r="255" spans="1:3" x14ac:dyDescent="0.2">
      <c r="A255" s="3" t="s">
        <v>273</v>
      </c>
      <c r="B255" s="5" t="s">
        <v>3</v>
      </c>
      <c r="C255" s="3"/>
    </row>
    <row r="256" spans="1:3" x14ac:dyDescent="0.2">
      <c r="A256" s="3" t="s">
        <v>274</v>
      </c>
      <c r="B256" s="5" t="s">
        <v>3</v>
      </c>
      <c r="C256" s="3"/>
    </row>
    <row r="257" spans="1:3" x14ac:dyDescent="0.2">
      <c r="A257" s="3" t="s">
        <v>275</v>
      </c>
      <c r="B257" s="5" t="s">
        <v>26</v>
      </c>
      <c r="C257" s="3"/>
    </row>
    <row r="258" spans="1:3" x14ac:dyDescent="0.2">
      <c r="A258" s="3" t="s">
        <v>276</v>
      </c>
      <c r="B258" s="5" t="s">
        <v>3</v>
      </c>
      <c r="C258" s="3"/>
    </row>
    <row r="259" spans="1:3" x14ac:dyDescent="0.2">
      <c r="A259" s="3" t="s">
        <v>277</v>
      </c>
      <c r="B259" s="5" t="s">
        <v>23</v>
      </c>
      <c r="C259" s="3"/>
    </row>
    <row r="260" spans="1:3" x14ac:dyDescent="0.2">
      <c r="A260" s="3" t="s">
        <v>278</v>
      </c>
      <c r="B260" s="5" t="s">
        <v>3</v>
      </c>
      <c r="C260" s="3"/>
    </row>
    <row r="261" spans="1:3" x14ac:dyDescent="0.2">
      <c r="A261" s="5" t="s">
        <v>279</v>
      </c>
      <c r="B261" s="5" t="s">
        <v>3</v>
      </c>
      <c r="C261" s="3"/>
    </row>
    <row r="262" spans="1:3" x14ac:dyDescent="0.2">
      <c r="A262" s="3" t="s">
        <v>280</v>
      </c>
      <c r="B262" s="5" t="s">
        <v>3</v>
      </c>
      <c r="C262" s="3"/>
    </row>
    <row r="263" spans="1:3" x14ac:dyDescent="0.2">
      <c r="A263" s="3" t="s">
        <v>281</v>
      </c>
      <c r="B263" s="5" t="s">
        <v>3</v>
      </c>
      <c r="C263" s="3"/>
    </row>
    <row r="264" spans="1:3" x14ac:dyDescent="0.2">
      <c r="A264" s="3" t="s">
        <v>282</v>
      </c>
      <c r="B264" s="5" t="s">
        <v>3</v>
      </c>
      <c r="C264" s="3"/>
    </row>
    <row r="265" spans="1:3" x14ac:dyDescent="0.2">
      <c r="A265" s="3" t="s">
        <v>283</v>
      </c>
      <c r="B265" s="5" t="s">
        <v>3</v>
      </c>
      <c r="C265" s="3"/>
    </row>
    <row r="266" spans="1:3" x14ac:dyDescent="0.2">
      <c r="A266" s="3" t="s">
        <v>284</v>
      </c>
      <c r="B266" s="5" t="s">
        <v>46</v>
      </c>
      <c r="C266" s="3"/>
    </row>
    <row r="267" spans="1:3" x14ac:dyDescent="0.2">
      <c r="A267" s="5" t="s">
        <v>285</v>
      </c>
      <c r="B267" s="5" t="s">
        <v>3</v>
      </c>
      <c r="C267" s="3"/>
    </row>
    <row r="268" spans="1:3" x14ac:dyDescent="0.2">
      <c r="A268" s="3" t="s">
        <v>286</v>
      </c>
      <c r="B268" s="5" t="s">
        <v>46</v>
      </c>
      <c r="C268" s="3"/>
    </row>
    <row r="269" spans="1:3" x14ac:dyDescent="0.2">
      <c r="A269" s="3" t="s">
        <v>287</v>
      </c>
      <c r="B269" s="5" t="s">
        <v>8</v>
      </c>
      <c r="C269" s="3"/>
    </row>
    <row r="270" spans="1:3" x14ac:dyDescent="0.2">
      <c r="A270" s="3" t="s">
        <v>288</v>
      </c>
      <c r="B270" s="5" t="s">
        <v>3</v>
      </c>
      <c r="C270" s="3"/>
    </row>
    <row r="271" spans="1:3" x14ac:dyDescent="0.2">
      <c r="A271" s="5" t="s">
        <v>289</v>
      </c>
      <c r="B271" s="5" t="s">
        <v>3</v>
      </c>
      <c r="C271" s="3"/>
    </row>
    <row r="272" spans="1:3" x14ac:dyDescent="0.2">
      <c r="A272" s="3" t="s">
        <v>290</v>
      </c>
      <c r="B272" s="5" t="s">
        <v>23</v>
      </c>
      <c r="C272" s="3"/>
    </row>
    <row r="273" spans="1:3" x14ac:dyDescent="0.2">
      <c r="A273" s="3" t="s">
        <v>291</v>
      </c>
      <c r="B273" s="5" t="s">
        <v>26</v>
      </c>
      <c r="C273" s="3"/>
    </row>
    <row r="274" spans="1:3" x14ac:dyDescent="0.2">
      <c r="A274" s="3" t="s">
        <v>292</v>
      </c>
      <c r="B274" s="5" t="s">
        <v>3</v>
      </c>
      <c r="C274" s="3"/>
    </row>
    <row r="275" spans="1:3" x14ac:dyDescent="0.2">
      <c r="A275" s="5" t="s">
        <v>293</v>
      </c>
      <c r="B275" s="5" t="s">
        <v>3</v>
      </c>
      <c r="C275" s="3"/>
    </row>
    <row r="276" spans="1:3" x14ac:dyDescent="0.2">
      <c r="A276" s="5" t="s">
        <v>294</v>
      </c>
      <c r="B276" s="5" t="s">
        <v>3</v>
      </c>
      <c r="C276" s="3"/>
    </row>
    <row r="277" spans="1:3" x14ac:dyDescent="0.2">
      <c r="A277" s="5" t="s">
        <v>295</v>
      </c>
      <c r="B277" s="5" t="s">
        <v>3</v>
      </c>
      <c r="C277" s="3"/>
    </row>
    <row r="278" spans="1:3" x14ac:dyDescent="0.2">
      <c r="A278" s="3" t="s">
        <v>296</v>
      </c>
      <c r="B278" s="5" t="s">
        <v>3</v>
      </c>
      <c r="C278" s="3"/>
    </row>
    <row r="279" spans="1:3" x14ac:dyDescent="0.2">
      <c r="A279" s="3" t="s">
        <v>297</v>
      </c>
      <c r="B279" s="5" t="s">
        <v>26</v>
      </c>
      <c r="C279" s="3"/>
    </row>
    <row r="280" spans="1:3" x14ac:dyDescent="0.2">
      <c r="A280" s="3" t="s">
        <v>298</v>
      </c>
      <c r="B280" s="5" t="s">
        <v>3</v>
      </c>
      <c r="C280" s="3"/>
    </row>
    <row r="281" spans="1:3" x14ac:dyDescent="0.2">
      <c r="A281" s="5" t="s">
        <v>299</v>
      </c>
      <c r="B281" s="5" t="s">
        <v>3</v>
      </c>
      <c r="C281" s="3"/>
    </row>
    <row r="282" spans="1:3" x14ac:dyDescent="0.2">
      <c r="A282" s="3" t="s">
        <v>300</v>
      </c>
      <c r="B282" s="5" t="s">
        <v>3</v>
      </c>
      <c r="C282" s="3"/>
    </row>
    <row r="283" spans="1:3" x14ac:dyDescent="0.2">
      <c r="A283" s="3" t="s">
        <v>301</v>
      </c>
      <c r="B283" s="5" t="s">
        <v>3</v>
      </c>
      <c r="C283" s="3"/>
    </row>
    <row r="284" spans="1:3" x14ac:dyDescent="0.2">
      <c r="A284" s="3" t="s">
        <v>302</v>
      </c>
      <c r="B284" s="5" t="s">
        <v>13</v>
      </c>
      <c r="C284" s="3"/>
    </row>
    <row r="285" spans="1:3" x14ac:dyDescent="0.2">
      <c r="A285" s="5" t="s">
        <v>303</v>
      </c>
      <c r="B285" s="5" t="s">
        <v>3</v>
      </c>
      <c r="C285" s="3"/>
    </row>
    <row r="286" spans="1:3" x14ac:dyDescent="0.2">
      <c r="A286" s="5" t="s">
        <v>304</v>
      </c>
      <c r="B286" s="5" t="s">
        <v>3</v>
      </c>
      <c r="C286" s="3"/>
    </row>
    <row r="287" spans="1:3" x14ac:dyDescent="0.2">
      <c r="A287" s="5" t="s">
        <v>305</v>
      </c>
      <c r="B287" s="5" t="s">
        <v>3</v>
      </c>
      <c r="C287" s="3"/>
    </row>
    <row r="288" spans="1:3" x14ac:dyDescent="0.2">
      <c r="A288" s="5" t="s">
        <v>306</v>
      </c>
      <c r="B288" s="5" t="s">
        <v>26</v>
      </c>
      <c r="C288" s="3"/>
    </row>
    <row r="289" spans="1:3" x14ac:dyDescent="0.2">
      <c r="A289" s="5" t="s">
        <v>307</v>
      </c>
      <c r="B289" s="5" t="s">
        <v>26</v>
      </c>
      <c r="C289" s="3"/>
    </row>
    <row r="290" spans="1:3" x14ac:dyDescent="0.2">
      <c r="A290" s="3" t="s">
        <v>308</v>
      </c>
      <c r="B290" s="5" t="s">
        <v>3</v>
      </c>
      <c r="C290" s="3"/>
    </row>
    <row r="291" spans="1:3" x14ac:dyDescent="0.2">
      <c r="A291" s="3" t="s">
        <v>309</v>
      </c>
      <c r="B291" s="5" t="s">
        <v>3</v>
      </c>
      <c r="C291" s="3"/>
    </row>
    <row r="292" spans="1:3" x14ac:dyDescent="0.2">
      <c r="A292" s="5" t="s">
        <v>310</v>
      </c>
      <c r="B292" s="5" t="s">
        <v>311</v>
      </c>
      <c r="C292" s="3"/>
    </row>
    <row r="293" spans="1:3" x14ac:dyDescent="0.2">
      <c r="A293" s="5" t="s">
        <v>312</v>
      </c>
      <c r="B293" s="5" t="s">
        <v>3</v>
      </c>
      <c r="C293" s="3"/>
    </row>
    <row r="294" spans="1:3" x14ac:dyDescent="0.2">
      <c r="A294" s="5" t="s">
        <v>313</v>
      </c>
      <c r="B294" s="5" t="s">
        <v>3</v>
      </c>
      <c r="C294" s="3"/>
    </row>
    <row r="295" spans="1:3" x14ac:dyDescent="0.2">
      <c r="A295" s="3" t="s">
        <v>314</v>
      </c>
      <c r="B295" s="5" t="s">
        <v>3</v>
      </c>
      <c r="C295" s="3"/>
    </row>
    <row r="296" spans="1:3" x14ac:dyDescent="0.2">
      <c r="A296" s="3" t="s">
        <v>315</v>
      </c>
      <c r="B296" s="5" t="s">
        <v>3</v>
      </c>
      <c r="C296" s="3"/>
    </row>
    <row r="297" spans="1:3" x14ac:dyDescent="0.2">
      <c r="A297" s="3" t="s">
        <v>316</v>
      </c>
      <c r="B297" s="5" t="s">
        <v>3</v>
      </c>
      <c r="C297" s="3"/>
    </row>
    <row r="298" spans="1:3" x14ac:dyDescent="0.2">
      <c r="A298" s="3" t="s">
        <v>317</v>
      </c>
      <c r="B298" s="5" t="s">
        <v>46</v>
      </c>
      <c r="C298" s="3"/>
    </row>
    <row r="299" spans="1:3" x14ac:dyDescent="0.2">
      <c r="A299" s="5" t="s">
        <v>318</v>
      </c>
      <c r="B299" s="5" t="s">
        <v>3</v>
      </c>
      <c r="C299" s="3"/>
    </row>
    <row r="300" spans="1:3" x14ac:dyDescent="0.2">
      <c r="A300" s="5" t="s">
        <v>319</v>
      </c>
      <c r="B300" s="5" t="s">
        <v>3</v>
      </c>
      <c r="C300" s="3"/>
    </row>
    <row r="301" spans="1:3" x14ac:dyDescent="0.2">
      <c r="A301" s="3" t="s">
        <v>320</v>
      </c>
      <c r="B301" s="5" t="s">
        <v>23</v>
      </c>
      <c r="C301" s="3"/>
    </row>
    <row r="302" spans="1:3" x14ac:dyDescent="0.2">
      <c r="A302" s="3" t="s">
        <v>321</v>
      </c>
      <c r="B302" s="5" t="s">
        <v>3</v>
      </c>
      <c r="C302" s="3"/>
    </row>
    <row r="303" spans="1:3" x14ac:dyDescent="0.2">
      <c r="A303" s="3" t="s">
        <v>322</v>
      </c>
      <c r="B303" s="5" t="s">
        <v>13</v>
      </c>
      <c r="C303" s="3"/>
    </row>
    <row r="304" spans="1:3" x14ac:dyDescent="0.2">
      <c r="A304" s="3" t="s">
        <v>323</v>
      </c>
      <c r="B304" s="5" t="s">
        <v>26</v>
      </c>
      <c r="C304" s="3"/>
    </row>
    <row r="305" spans="1:3" x14ac:dyDescent="0.2">
      <c r="A305" s="3" t="s">
        <v>324</v>
      </c>
      <c r="B305" s="5" t="s">
        <v>3</v>
      </c>
      <c r="C305" s="3"/>
    </row>
    <row r="306" spans="1:3" x14ac:dyDescent="0.2">
      <c r="A306" s="3" t="s">
        <v>325</v>
      </c>
      <c r="B306" s="5" t="s">
        <v>26</v>
      </c>
      <c r="C306" s="3"/>
    </row>
    <row r="307" spans="1:3" x14ac:dyDescent="0.2">
      <c r="A307" s="3" t="s">
        <v>326</v>
      </c>
      <c r="B307" s="5" t="s">
        <v>3</v>
      </c>
      <c r="C307" s="3"/>
    </row>
    <row r="308" spans="1:3" x14ac:dyDescent="0.2">
      <c r="A308" s="5" t="s">
        <v>327</v>
      </c>
      <c r="B308" s="5" t="s">
        <v>26</v>
      </c>
      <c r="C308" s="3"/>
    </row>
    <row r="309" spans="1:3" x14ac:dyDescent="0.2">
      <c r="A309" s="3" t="s">
        <v>328</v>
      </c>
      <c r="B309" s="5" t="s">
        <v>3</v>
      </c>
      <c r="C309" s="3"/>
    </row>
    <row r="310" spans="1:3" x14ac:dyDescent="0.2">
      <c r="A310" s="3" t="s">
        <v>329</v>
      </c>
      <c r="B310" s="5" t="s">
        <v>23</v>
      </c>
      <c r="C310" s="3"/>
    </row>
    <row r="311" spans="1:3" x14ac:dyDescent="0.2">
      <c r="A311" s="3" t="s">
        <v>330</v>
      </c>
      <c r="B311" s="5" t="s">
        <v>331</v>
      </c>
      <c r="C311" s="3"/>
    </row>
    <row r="312" spans="1:3" x14ac:dyDescent="0.2">
      <c r="A312" s="3" t="s">
        <v>332</v>
      </c>
      <c r="B312" s="5" t="s">
        <v>13</v>
      </c>
      <c r="C312" s="3"/>
    </row>
    <row r="313" spans="1:3" x14ac:dyDescent="0.2">
      <c r="A313" s="3" t="s">
        <v>333</v>
      </c>
      <c r="B313" s="5" t="s">
        <v>23</v>
      </c>
      <c r="C313" s="3"/>
    </row>
    <row r="314" spans="1:3" x14ac:dyDescent="0.2">
      <c r="A314" s="3" t="s">
        <v>334</v>
      </c>
      <c r="B314" s="5" t="s">
        <v>26</v>
      </c>
      <c r="C314" s="3"/>
    </row>
    <row r="315" spans="1:3" x14ac:dyDescent="0.2">
      <c r="A315" s="3" t="s">
        <v>335</v>
      </c>
      <c r="B315" s="5" t="s">
        <v>3</v>
      </c>
      <c r="C315" s="3"/>
    </row>
    <row r="316" spans="1:3" x14ac:dyDescent="0.2">
      <c r="A316" s="5" t="s">
        <v>336</v>
      </c>
      <c r="B316" s="5" t="s">
        <v>3</v>
      </c>
      <c r="C316" s="3"/>
    </row>
    <row r="317" spans="1:3" x14ac:dyDescent="0.2">
      <c r="A317" s="3" t="s">
        <v>337</v>
      </c>
      <c r="B317" s="5" t="s">
        <v>3</v>
      </c>
      <c r="C317" s="3"/>
    </row>
    <row r="318" spans="1:3" x14ac:dyDescent="0.2">
      <c r="A318" s="3" t="s">
        <v>338</v>
      </c>
      <c r="B318" s="5" t="s">
        <v>3</v>
      </c>
      <c r="C318" s="3"/>
    </row>
    <row r="319" spans="1:3" x14ac:dyDescent="0.2">
      <c r="A319" s="3" t="s">
        <v>339</v>
      </c>
      <c r="B319" s="5" t="s">
        <v>46</v>
      </c>
      <c r="C319" s="3"/>
    </row>
    <row r="320" spans="1:3" x14ac:dyDescent="0.2">
      <c r="A320" s="3" t="s">
        <v>340</v>
      </c>
      <c r="B320" s="5" t="s">
        <v>13</v>
      </c>
      <c r="C320" s="3"/>
    </row>
    <row r="321" spans="1:3" x14ac:dyDescent="0.2">
      <c r="A321" s="5" t="s">
        <v>341</v>
      </c>
      <c r="B321" s="5" t="s">
        <v>3</v>
      </c>
      <c r="C321" s="3"/>
    </row>
    <row r="322" spans="1:3" x14ac:dyDescent="0.2">
      <c r="A322" s="5" t="s">
        <v>342</v>
      </c>
      <c r="B322" s="5" t="s">
        <v>3</v>
      </c>
      <c r="C322" s="3"/>
    </row>
    <row r="323" spans="1:3" x14ac:dyDescent="0.2">
      <c r="A323" s="5" t="s">
        <v>343</v>
      </c>
      <c r="B323" s="5" t="s">
        <v>3</v>
      </c>
      <c r="C323" s="3"/>
    </row>
    <row r="324" spans="1:3" x14ac:dyDescent="0.2">
      <c r="A324" s="5" t="s">
        <v>344</v>
      </c>
      <c r="B324" s="5" t="s">
        <v>3</v>
      </c>
      <c r="C324" s="3"/>
    </row>
    <row r="325" spans="1:3" x14ac:dyDescent="0.2">
      <c r="A325" s="5" t="s">
        <v>345</v>
      </c>
      <c r="B325" s="5" t="s">
        <v>3</v>
      </c>
      <c r="C325" s="3"/>
    </row>
    <row r="326" spans="1:3" x14ac:dyDescent="0.2">
      <c r="A326" s="5" t="s">
        <v>345</v>
      </c>
      <c r="B326" s="5" t="s">
        <v>3</v>
      </c>
      <c r="C326" s="3"/>
    </row>
    <row r="327" spans="1:3" x14ac:dyDescent="0.2">
      <c r="A327" s="5" t="s">
        <v>346</v>
      </c>
      <c r="B327" s="5" t="s">
        <v>3</v>
      </c>
      <c r="C327" s="3"/>
    </row>
    <row r="328" spans="1:3" x14ac:dyDescent="0.2">
      <c r="A328" s="5" t="s">
        <v>347</v>
      </c>
      <c r="B328" s="5" t="s">
        <v>3</v>
      </c>
      <c r="C328" s="3"/>
    </row>
    <row r="329" spans="1:3" x14ac:dyDescent="0.2">
      <c r="A329" s="5" t="s">
        <v>348</v>
      </c>
      <c r="B329" s="5" t="s">
        <v>3</v>
      </c>
      <c r="C329" s="3"/>
    </row>
    <row r="330" spans="1:3" x14ac:dyDescent="0.2">
      <c r="A330" s="3" t="s">
        <v>349</v>
      </c>
      <c r="B330" s="5" t="s">
        <v>26</v>
      </c>
      <c r="C330" s="3"/>
    </row>
    <row r="331" spans="1:3" x14ac:dyDescent="0.2">
      <c r="A331" s="3" t="s">
        <v>350</v>
      </c>
      <c r="B331" s="5" t="s">
        <v>3</v>
      </c>
      <c r="C331" s="3"/>
    </row>
    <row r="332" spans="1:3" x14ac:dyDescent="0.2">
      <c r="A332" s="5" t="s">
        <v>351</v>
      </c>
      <c r="B332" s="5" t="s">
        <v>3</v>
      </c>
      <c r="C332" s="3"/>
    </row>
    <row r="333" spans="1:3" x14ac:dyDescent="0.2">
      <c r="A333" s="3" t="s">
        <v>352</v>
      </c>
      <c r="B333" s="5" t="s">
        <v>3</v>
      </c>
      <c r="C333" s="3"/>
    </row>
    <row r="334" spans="1:3" x14ac:dyDescent="0.2">
      <c r="A334" s="5" t="s">
        <v>353</v>
      </c>
      <c r="B334" s="5" t="s">
        <v>3</v>
      </c>
      <c r="C334" s="3"/>
    </row>
    <row r="335" spans="1:3" x14ac:dyDescent="0.2">
      <c r="A335" s="5" t="s">
        <v>354</v>
      </c>
      <c r="B335" s="5" t="s">
        <v>3</v>
      </c>
      <c r="C335" s="3"/>
    </row>
    <row r="336" spans="1:3" x14ac:dyDescent="0.2">
      <c r="A336" s="5" t="s">
        <v>355</v>
      </c>
      <c r="B336" s="5" t="s">
        <v>50</v>
      </c>
      <c r="C336" s="3"/>
    </row>
    <row r="337" spans="1:3" x14ac:dyDescent="0.2">
      <c r="A337" s="3" t="s">
        <v>356</v>
      </c>
      <c r="B337" s="5" t="s">
        <v>50</v>
      </c>
      <c r="C337" s="3"/>
    </row>
    <row r="338" spans="1:3" x14ac:dyDescent="0.2">
      <c r="A338" s="3" t="s">
        <v>357</v>
      </c>
      <c r="B338" s="5" t="s">
        <v>13</v>
      </c>
      <c r="C338" s="3"/>
    </row>
    <row r="339" spans="1:3" x14ac:dyDescent="0.2">
      <c r="A339" s="3" t="s">
        <v>358</v>
      </c>
      <c r="B339" s="5" t="s">
        <v>3</v>
      </c>
      <c r="C339" s="3"/>
    </row>
    <row r="340" spans="1:3" x14ac:dyDescent="0.2">
      <c r="A340" s="3" t="s">
        <v>359</v>
      </c>
      <c r="B340" s="5" t="s">
        <v>13</v>
      </c>
      <c r="C340" s="3"/>
    </row>
    <row r="341" spans="1:3" x14ac:dyDescent="0.2">
      <c r="A341" s="3" t="s">
        <v>360</v>
      </c>
      <c r="B341" s="5" t="s">
        <v>26</v>
      </c>
      <c r="C341" s="3"/>
    </row>
    <row r="342" spans="1:3" x14ac:dyDescent="0.2">
      <c r="A342" s="5" t="s">
        <v>361</v>
      </c>
      <c r="B342" s="5" t="s">
        <v>362</v>
      </c>
      <c r="C342" s="3"/>
    </row>
    <row r="343" spans="1:3" x14ac:dyDescent="0.2">
      <c r="A343" s="3" t="s">
        <v>363</v>
      </c>
      <c r="B343" s="5" t="s">
        <v>13</v>
      </c>
      <c r="C343" s="3"/>
    </row>
    <row r="344" spans="1:3" x14ac:dyDescent="0.2">
      <c r="A344" s="3" t="s">
        <v>364</v>
      </c>
      <c r="B344" s="5" t="s">
        <v>13</v>
      </c>
      <c r="C344" s="3"/>
    </row>
    <row r="345" spans="1:3" x14ac:dyDescent="0.2">
      <c r="A345" s="3" t="s">
        <v>365</v>
      </c>
      <c r="B345" s="5" t="s">
        <v>46</v>
      </c>
      <c r="C345" s="3"/>
    </row>
    <row r="346" spans="1:3" x14ac:dyDescent="0.2">
      <c r="A346" s="3" t="s">
        <v>366</v>
      </c>
      <c r="B346" s="5" t="s">
        <v>13</v>
      </c>
      <c r="C346" s="3"/>
    </row>
    <row r="347" spans="1:3" x14ac:dyDescent="0.2">
      <c r="A347" s="3" t="s">
        <v>367</v>
      </c>
      <c r="B347" s="5" t="s">
        <v>3</v>
      </c>
      <c r="C347" s="3"/>
    </row>
    <row r="348" spans="1:3" x14ac:dyDescent="0.2">
      <c r="A348" s="3" t="s">
        <v>368</v>
      </c>
      <c r="B348" s="5" t="s">
        <v>13</v>
      </c>
      <c r="C348" s="3"/>
    </row>
    <row r="349" spans="1:3" x14ac:dyDescent="0.2">
      <c r="A349" s="5" t="s">
        <v>369</v>
      </c>
      <c r="B349" s="5" t="s">
        <v>3</v>
      </c>
      <c r="C349" s="3"/>
    </row>
    <row r="350" spans="1:3" x14ac:dyDescent="0.2">
      <c r="A350" s="3" t="s">
        <v>370</v>
      </c>
      <c r="B350" s="5" t="s">
        <v>3</v>
      </c>
      <c r="C350" s="3"/>
    </row>
    <row r="351" spans="1:3" x14ac:dyDescent="0.2">
      <c r="A351" s="3" t="s">
        <v>371</v>
      </c>
      <c r="B351" s="5" t="s">
        <v>3</v>
      </c>
      <c r="C351" s="3"/>
    </row>
    <row r="352" spans="1:3" x14ac:dyDescent="0.2">
      <c r="A352" s="3" t="s">
        <v>372</v>
      </c>
      <c r="B352" s="5" t="s">
        <v>3</v>
      </c>
      <c r="C352" s="3"/>
    </row>
    <row r="353" spans="1:3" x14ac:dyDescent="0.2">
      <c r="A353" s="5" t="s">
        <v>373</v>
      </c>
      <c r="B353" s="5" t="s">
        <v>3</v>
      </c>
      <c r="C353" s="3"/>
    </row>
    <row r="354" spans="1:3" x14ac:dyDescent="0.2">
      <c r="A354" s="3" t="s">
        <v>374</v>
      </c>
      <c r="B354" s="5" t="s">
        <v>26</v>
      </c>
      <c r="C354" s="3"/>
    </row>
    <row r="355" spans="1:3" x14ac:dyDescent="0.2">
      <c r="A355" s="3" t="s">
        <v>375</v>
      </c>
      <c r="B355" s="5" t="s">
        <v>13</v>
      </c>
      <c r="C355" s="3"/>
    </row>
    <row r="356" spans="1:3" x14ac:dyDescent="0.2">
      <c r="A356" s="3" t="s">
        <v>376</v>
      </c>
      <c r="B356" s="5" t="s">
        <v>3</v>
      </c>
      <c r="C356" s="3"/>
    </row>
    <row r="357" spans="1:3" x14ac:dyDescent="0.2">
      <c r="A357" s="3" t="s">
        <v>377</v>
      </c>
      <c r="B357" s="5" t="s">
        <v>13</v>
      </c>
      <c r="C357" s="3"/>
    </row>
    <row r="358" spans="1:3" x14ac:dyDescent="0.2">
      <c r="A358" s="5" t="s">
        <v>378</v>
      </c>
      <c r="B358" s="5" t="s">
        <v>3</v>
      </c>
      <c r="C358" s="3"/>
    </row>
    <row r="359" spans="1:3" x14ac:dyDescent="0.2">
      <c r="A359" s="3" t="s">
        <v>379</v>
      </c>
      <c r="B359" s="5" t="s">
        <v>3</v>
      </c>
      <c r="C359" s="3"/>
    </row>
    <row r="360" spans="1:3" x14ac:dyDescent="0.2">
      <c r="A360" s="5" t="s">
        <v>380</v>
      </c>
      <c r="B360" s="5" t="s">
        <v>3</v>
      </c>
      <c r="C360" s="3"/>
    </row>
    <row r="361" spans="1:3" x14ac:dyDescent="0.2">
      <c r="A361" s="3" t="s">
        <v>381</v>
      </c>
      <c r="B361" s="5" t="s">
        <v>3</v>
      </c>
      <c r="C361" s="3"/>
    </row>
    <row r="362" spans="1:3" x14ac:dyDescent="0.2">
      <c r="A362" s="3" t="s">
        <v>382</v>
      </c>
      <c r="B362" s="5" t="s">
        <v>3</v>
      </c>
      <c r="C362" s="3"/>
    </row>
    <row r="363" spans="1:3" x14ac:dyDescent="0.2">
      <c r="A363" s="5" t="s">
        <v>383</v>
      </c>
      <c r="B363" s="5" t="s">
        <v>3</v>
      </c>
      <c r="C363" s="3"/>
    </row>
    <row r="364" spans="1:3" x14ac:dyDescent="0.2">
      <c r="A364" s="3" t="s">
        <v>384</v>
      </c>
      <c r="B364" s="5" t="s">
        <v>26</v>
      </c>
      <c r="C364" s="3"/>
    </row>
    <row r="365" spans="1:3" x14ac:dyDescent="0.2">
      <c r="A365" s="5" t="s">
        <v>385</v>
      </c>
      <c r="B365" s="5" t="s">
        <v>3</v>
      </c>
      <c r="C365" s="3"/>
    </row>
    <row r="366" spans="1:3" x14ac:dyDescent="0.2">
      <c r="A366" s="5" t="s">
        <v>386</v>
      </c>
      <c r="B366" s="5" t="s">
        <v>3</v>
      </c>
      <c r="C366" s="3"/>
    </row>
    <row r="367" spans="1:3" x14ac:dyDescent="0.2">
      <c r="A367" s="5" t="s">
        <v>387</v>
      </c>
      <c r="B367" s="5" t="s">
        <v>3</v>
      </c>
      <c r="C367" s="3"/>
    </row>
    <row r="368" spans="1:3" x14ac:dyDescent="0.2">
      <c r="A368" s="5" t="s">
        <v>388</v>
      </c>
      <c r="B368" s="5" t="s">
        <v>3</v>
      </c>
      <c r="C368" s="3"/>
    </row>
    <row r="369" spans="1:3" x14ac:dyDescent="0.2">
      <c r="A369" s="3" t="s">
        <v>389</v>
      </c>
      <c r="B369" s="5" t="s">
        <v>3</v>
      </c>
      <c r="C369" s="3"/>
    </row>
    <row r="370" spans="1:3" x14ac:dyDescent="0.2">
      <c r="A370" s="3" t="s">
        <v>390</v>
      </c>
      <c r="B370" s="5" t="s">
        <v>3</v>
      </c>
      <c r="C370" s="3"/>
    </row>
    <row r="371" spans="1:3" x14ac:dyDescent="0.2">
      <c r="A371" s="5" t="s">
        <v>391</v>
      </c>
      <c r="B371" s="5" t="s">
        <v>3</v>
      </c>
      <c r="C371" s="3"/>
    </row>
    <row r="372" spans="1:3" x14ac:dyDescent="0.2">
      <c r="A372" s="3" t="s">
        <v>392</v>
      </c>
      <c r="B372" s="5" t="s">
        <v>26</v>
      </c>
      <c r="C372" s="3"/>
    </row>
    <row r="373" spans="1:3" x14ac:dyDescent="0.2">
      <c r="A373" s="5" t="s">
        <v>393</v>
      </c>
      <c r="B373" s="5" t="s">
        <v>3</v>
      </c>
      <c r="C373" s="3"/>
    </row>
    <row r="374" spans="1:3" x14ac:dyDescent="0.2">
      <c r="A374" s="3" t="s">
        <v>394</v>
      </c>
      <c r="B374" s="5" t="s">
        <v>26</v>
      </c>
      <c r="C374" s="3"/>
    </row>
    <row r="375" spans="1:3" x14ac:dyDescent="0.2">
      <c r="A375" s="3" t="s">
        <v>395</v>
      </c>
      <c r="B375" s="5" t="s">
        <v>3</v>
      </c>
      <c r="C375" s="3"/>
    </row>
    <row r="376" spans="1:3" x14ac:dyDescent="0.2">
      <c r="A376" s="5" t="s">
        <v>396</v>
      </c>
      <c r="B376" s="5" t="s">
        <v>3</v>
      </c>
      <c r="C376" s="3"/>
    </row>
    <row r="377" spans="1:3" x14ac:dyDescent="0.2">
      <c r="A377" s="5" t="s">
        <v>397</v>
      </c>
      <c r="B377" s="5" t="s">
        <v>3</v>
      </c>
      <c r="C377" s="3"/>
    </row>
    <row r="378" spans="1:3" x14ac:dyDescent="0.2">
      <c r="A378" s="3" t="s">
        <v>398</v>
      </c>
      <c r="B378" s="5" t="s">
        <v>23</v>
      </c>
      <c r="C378" s="3"/>
    </row>
    <row r="379" spans="1:3" x14ac:dyDescent="0.2">
      <c r="A379" s="3" t="s">
        <v>399</v>
      </c>
      <c r="B379" s="5" t="s">
        <v>3</v>
      </c>
      <c r="C379" s="3"/>
    </row>
    <row r="380" spans="1:3" x14ac:dyDescent="0.2">
      <c r="A380" s="3" t="s">
        <v>400</v>
      </c>
      <c r="B380" s="5" t="s">
        <v>26</v>
      </c>
      <c r="C380" s="3"/>
    </row>
    <row r="381" spans="1:3" x14ac:dyDescent="0.2">
      <c r="A381" s="3" t="s">
        <v>401</v>
      </c>
      <c r="B381" s="5" t="s">
        <v>3</v>
      </c>
      <c r="C381" s="3"/>
    </row>
    <row r="382" spans="1:3" x14ac:dyDescent="0.2">
      <c r="A382" s="5" t="s">
        <v>402</v>
      </c>
      <c r="B382" s="5" t="s">
        <v>3</v>
      </c>
      <c r="C382" s="3"/>
    </row>
    <row r="383" spans="1:3" x14ac:dyDescent="0.2">
      <c r="A383" s="3" t="s">
        <v>403</v>
      </c>
      <c r="B383" s="5" t="s">
        <v>26</v>
      </c>
      <c r="C383" s="3"/>
    </row>
    <row r="384" spans="1:3" x14ac:dyDescent="0.2">
      <c r="A384" s="3" t="s">
        <v>404</v>
      </c>
      <c r="B384" s="5" t="s">
        <v>3</v>
      </c>
      <c r="C384" s="3"/>
    </row>
    <row r="385" spans="1:3" x14ac:dyDescent="0.2">
      <c r="A385" s="5" t="s">
        <v>405</v>
      </c>
      <c r="B385" s="5" t="s">
        <v>3</v>
      </c>
      <c r="C385" s="3"/>
    </row>
    <row r="386" spans="1:3" x14ac:dyDescent="0.2">
      <c r="A386" s="5" t="s">
        <v>406</v>
      </c>
      <c r="B386" s="5" t="s">
        <v>3</v>
      </c>
      <c r="C386" s="3"/>
    </row>
    <row r="387" spans="1:3" x14ac:dyDescent="0.2">
      <c r="A387" s="3" t="s">
        <v>407</v>
      </c>
      <c r="B387" s="5" t="s">
        <v>3</v>
      </c>
      <c r="C387" s="3"/>
    </row>
    <row r="388" spans="1:3" x14ac:dyDescent="0.2">
      <c r="A388" s="3" t="s">
        <v>408</v>
      </c>
      <c r="B388" s="5" t="s">
        <v>3</v>
      </c>
      <c r="C388" s="3"/>
    </row>
    <row r="389" spans="1:3" x14ac:dyDescent="0.2">
      <c r="A389" s="3" t="s">
        <v>409</v>
      </c>
      <c r="B389" s="5" t="s">
        <v>26</v>
      </c>
      <c r="C389" s="3"/>
    </row>
    <row r="390" spans="1:3" x14ac:dyDescent="0.2">
      <c r="A390" s="3" t="s">
        <v>410</v>
      </c>
      <c r="B390" s="5" t="s">
        <v>26</v>
      </c>
      <c r="C390" s="3"/>
    </row>
    <row r="391" spans="1:3" x14ac:dyDescent="0.2">
      <c r="A391" s="3" t="s">
        <v>411</v>
      </c>
      <c r="B391" s="5" t="s">
        <v>3</v>
      </c>
      <c r="C391" s="3"/>
    </row>
    <row r="392" spans="1:3" x14ac:dyDescent="0.2">
      <c r="A392" s="3" t="s">
        <v>412</v>
      </c>
      <c r="B392" s="5" t="s">
        <v>3</v>
      </c>
      <c r="C392" s="3"/>
    </row>
    <row r="393" spans="1:3" x14ac:dyDescent="0.2">
      <c r="A393" s="3" t="s">
        <v>413</v>
      </c>
      <c r="B393" s="5" t="s">
        <v>13</v>
      </c>
      <c r="C393" s="3"/>
    </row>
    <row r="394" spans="1:3" x14ac:dyDescent="0.2">
      <c r="A394" s="5" t="s">
        <v>414</v>
      </c>
      <c r="B394" s="5" t="s">
        <v>3</v>
      </c>
      <c r="C394" s="3"/>
    </row>
    <row r="395" spans="1:3" x14ac:dyDescent="0.2">
      <c r="A395" s="5" t="s">
        <v>415</v>
      </c>
      <c r="B395" s="5" t="s">
        <v>26</v>
      </c>
      <c r="C395" s="3"/>
    </row>
    <row r="396" spans="1:3" x14ac:dyDescent="0.2">
      <c r="A396" s="3" t="s">
        <v>416</v>
      </c>
      <c r="B396" s="5" t="s">
        <v>26</v>
      </c>
      <c r="C396" s="3"/>
    </row>
    <row r="397" spans="1:3" x14ac:dyDescent="0.2">
      <c r="A397" s="3" t="s">
        <v>417</v>
      </c>
      <c r="B397" s="5" t="s">
        <v>26</v>
      </c>
      <c r="C397" s="3"/>
    </row>
    <row r="398" spans="1:3" x14ac:dyDescent="0.2">
      <c r="A398" s="3" t="s">
        <v>418</v>
      </c>
      <c r="B398" s="5" t="s">
        <v>3</v>
      </c>
      <c r="C398" s="3"/>
    </row>
    <row r="399" spans="1:3" x14ac:dyDescent="0.2">
      <c r="A399" s="3" t="s">
        <v>419</v>
      </c>
      <c r="B399" s="5" t="s">
        <v>3</v>
      </c>
      <c r="C399" s="3"/>
    </row>
    <row r="400" spans="1:3" x14ac:dyDescent="0.2">
      <c r="A400" s="3" t="s">
        <v>420</v>
      </c>
      <c r="B400" s="5" t="s">
        <v>3</v>
      </c>
      <c r="C400" s="3"/>
    </row>
    <row r="401" spans="1:3" x14ac:dyDescent="0.2">
      <c r="A401" s="3" t="s">
        <v>421</v>
      </c>
      <c r="B401" s="5" t="s">
        <v>3</v>
      </c>
      <c r="C401" s="3"/>
    </row>
    <row r="402" spans="1:3" x14ac:dyDescent="0.2">
      <c r="A402" s="3" t="s">
        <v>422</v>
      </c>
      <c r="B402" s="5" t="s">
        <v>23</v>
      </c>
      <c r="C402" s="3"/>
    </row>
    <row r="403" spans="1:3" x14ac:dyDescent="0.2">
      <c r="A403" s="3" t="s">
        <v>423</v>
      </c>
      <c r="B403" s="5" t="s">
        <v>13</v>
      </c>
      <c r="C403" s="3"/>
    </row>
    <row r="404" spans="1:3" x14ac:dyDescent="0.2">
      <c r="A404" s="3" t="s">
        <v>424</v>
      </c>
      <c r="B404" s="5" t="s">
        <v>3</v>
      </c>
      <c r="C404" s="3"/>
    </row>
    <row r="405" spans="1:3" x14ac:dyDescent="0.2">
      <c r="A405" s="3" t="s">
        <v>425</v>
      </c>
      <c r="B405" s="5" t="s">
        <v>3</v>
      </c>
      <c r="C405" s="3"/>
    </row>
    <row r="406" spans="1:3" x14ac:dyDescent="0.2">
      <c r="A406" s="3" t="s">
        <v>426</v>
      </c>
      <c r="B406" s="5" t="s">
        <v>23</v>
      </c>
      <c r="C406" s="3"/>
    </row>
    <row r="407" spans="1:3" x14ac:dyDescent="0.2">
      <c r="A407" s="3" t="s">
        <v>427</v>
      </c>
      <c r="B407" s="5" t="s">
        <v>13</v>
      </c>
      <c r="C407" s="3"/>
    </row>
    <row r="408" spans="1:3" x14ac:dyDescent="0.2">
      <c r="A408" s="3" t="s">
        <v>428</v>
      </c>
      <c r="B408" s="5" t="s">
        <v>13</v>
      </c>
      <c r="C408" s="3"/>
    </row>
    <row r="409" spans="1:3" x14ac:dyDescent="0.2">
      <c r="A409" s="5" t="s">
        <v>429</v>
      </c>
      <c r="B409" s="5" t="s">
        <v>26</v>
      </c>
      <c r="C409" s="3"/>
    </row>
    <row r="410" spans="1:3" x14ac:dyDescent="0.2">
      <c r="A410" s="3" t="s">
        <v>430</v>
      </c>
      <c r="B410" s="5" t="s">
        <v>3</v>
      </c>
      <c r="C410" s="3"/>
    </row>
    <row r="411" spans="1:3" x14ac:dyDescent="0.2">
      <c r="A411" s="3" t="s">
        <v>431</v>
      </c>
      <c r="B411" s="5" t="s">
        <v>13</v>
      </c>
      <c r="C411" s="3"/>
    </row>
    <row r="412" spans="1:3" x14ac:dyDescent="0.2">
      <c r="A412" s="3" t="s">
        <v>432</v>
      </c>
      <c r="B412" s="5" t="s">
        <v>3</v>
      </c>
      <c r="C412" s="3"/>
    </row>
    <row r="413" spans="1:3" x14ac:dyDescent="0.2">
      <c r="A413" s="5" t="s">
        <v>433</v>
      </c>
      <c r="B413" s="5" t="s">
        <v>3</v>
      </c>
      <c r="C413" s="3"/>
    </row>
    <row r="414" spans="1:3" x14ac:dyDescent="0.2">
      <c r="A414" s="5" t="s">
        <v>434</v>
      </c>
      <c r="B414" s="5" t="s">
        <v>3</v>
      </c>
      <c r="C414" s="3"/>
    </row>
    <row r="415" spans="1:3" x14ac:dyDescent="0.2">
      <c r="A415" s="5" t="s">
        <v>435</v>
      </c>
      <c r="B415" s="5" t="s">
        <v>3</v>
      </c>
      <c r="C415" s="3"/>
    </row>
    <row r="416" spans="1:3" x14ac:dyDescent="0.2">
      <c r="A416" s="5" t="s">
        <v>436</v>
      </c>
      <c r="B416" s="5" t="s">
        <v>3</v>
      </c>
      <c r="C416" s="3"/>
    </row>
    <row r="417" spans="1:3" x14ac:dyDescent="0.2">
      <c r="A417" s="3" t="s">
        <v>437</v>
      </c>
      <c r="B417" s="5" t="s">
        <v>3</v>
      </c>
      <c r="C417" s="3"/>
    </row>
    <row r="418" spans="1:3" x14ac:dyDescent="0.2">
      <c r="A418" s="3" t="s">
        <v>438</v>
      </c>
      <c r="B418" s="5" t="s">
        <v>3</v>
      </c>
      <c r="C418" s="3"/>
    </row>
    <row r="419" spans="1:3" x14ac:dyDescent="0.2">
      <c r="A419" s="3" t="s">
        <v>439</v>
      </c>
      <c r="B419" s="5" t="s">
        <v>50</v>
      </c>
      <c r="C419" s="3"/>
    </row>
    <row r="420" spans="1:3" x14ac:dyDescent="0.2">
      <c r="A420" s="3" t="s">
        <v>440</v>
      </c>
      <c r="B420" s="5" t="s">
        <v>8</v>
      </c>
      <c r="C420" s="3"/>
    </row>
    <row r="421" spans="1:3" x14ac:dyDescent="0.2">
      <c r="A421" s="5" t="s">
        <v>441</v>
      </c>
      <c r="B421" s="5" t="s">
        <v>3</v>
      </c>
      <c r="C421" s="3"/>
    </row>
    <row r="422" spans="1:3" x14ac:dyDescent="0.2">
      <c r="A422" s="3" t="s">
        <v>442</v>
      </c>
      <c r="B422" s="5" t="s">
        <v>3</v>
      </c>
      <c r="C422" s="3"/>
    </row>
    <row r="423" spans="1:3" x14ac:dyDescent="0.2">
      <c r="A423" s="3" t="s">
        <v>443</v>
      </c>
      <c r="B423" s="5" t="s">
        <v>13</v>
      </c>
      <c r="C423" s="3"/>
    </row>
    <row r="424" spans="1:3" x14ac:dyDescent="0.2">
      <c r="A424" s="3" t="s">
        <v>444</v>
      </c>
      <c r="B424" s="5" t="s">
        <v>3</v>
      </c>
      <c r="C424" s="3"/>
    </row>
    <row r="425" spans="1:3" x14ac:dyDescent="0.2">
      <c r="A425" s="3" t="s">
        <v>445</v>
      </c>
      <c r="B425" s="5" t="s">
        <v>26</v>
      </c>
      <c r="C425" s="3"/>
    </row>
    <row r="426" spans="1:3" x14ac:dyDescent="0.2">
      <c r="A426" s="5" t="s">
        <v>446</v>
      </c>
      <c r="B426" s="5" t="s">
        <v>3</v>
      </c>
      <c r="C426" s="3"/>
    </row>
    <row r="427" spans="1:3" x14ac:dyDescent="0.2">
      <c r="A427" s="3" t="s">
        <v>447</v>
      </c>
      <c r="B427" s="5" t="s">
        <v>13</v>
      </c>
      <c r="C427" s="3"/>
    </row>
    <row r="428" spans="1:3" x14ac:dyDescent="0.2">
      <c r="A428" s="3" t="s">
        <v>448</v>
      </c>
      <c r="B428" s="5" t="s">
        <v>50</v>
      </c>
      <c r="C428" s="3"/>
    </row>
    <row r="429" spans="1:3" x14ac:dyDescent="0.2">
      <c r="A429" s="3" t="s">
        <v>449</v>
      </c>
      <c r="B429" s="5" t="s">
        <v>13</v>
      </c>
      <c r="C429" s="3"/>
    </row>
    <row r="430" spans="1:3" x14ac:dyDescent="0.2">
      <c r="A430" s="3" t="s">
        <v>450</v>
      </c>
      <c r="B430" s="5" t="s">
        <v>23</v>
      </c>
      <c r="C430" s="3"/>
    </row>
    <row r="431" spans="1:3" x14ac:dyDescent="0.2">
      <c r="A431" s="3" t="s">
        <v>451</v>
      </c>
      <c r="B431" s="5" t="s">
        <v>13</v>
      </c>
      <c r="C431" s="3"/>
    </row>
    <row r="432" spans="1:3" x14ac:dyDescent="0.2">
      <c r="A432" s="3" t="s">
        <v>452</v>
      </c>
      <c r="B432" s="5" t="s">
        <v>13</v>
      </c>
      <c r="C432" s="3"/>
    </row>
    <row r="433" spans="1:3" x14ac:dyDescent="0.2">
      <c r="A433" s="3" t="s">
        <v>453</v>
      </c>
      <c r="B433" s="5" t="s">
        <v>13</v>
      </c>
      <c r="C433" s="3"/>
    </row>
    <row r="434" spans="1:3" x14ac:dyDescent="0.2">
      <c r="A434" s="5" t="s">
        <v>454</v>
      </c>
      <c r="B434" s="5" t="s">
        <v>26</v>
      </c>
      <c r="C434" s="3"/>
    </row>
    <row r="435" spans="1:3" x14ac:dyDescent="0.2">
      <c r="A435" s="3" t="s">
        <v>455</v>
      </c>
      <c r="B435" s="5" t="s">
        <v>3</v>
      </c>
      <c r="C435" s="3"/>
    </row>
    <row r="436" spans="1:3" x14ac:dyDescent="0.2">
      <c r="A436" s="3" t="s">
        <v>456</v>
      </c>
      <c r="B436" s="5" t="s">
        <v>3</v>
      </c>
      <c r="C436" s="3"/>
    </row>
    <row r="437" spans="1:3" x14ac:dyDescent="0.2">
      <c r="A437" s="5" t="s">
        <v>457</v>
      </c>
      <c r="B437" s="5" t="s">
        <v>458</v>
      </c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  <row r="473" spans="1:3" x14ac:dyDescent="0.2">
      <c r="A473" s="3"/>
      <c r="B473" s="3"/>
      <c r="C473" s="3"/>
    </row>
    <row r="474" spans="1:3" x14ac:dyDescent="0.2">
      <c r="A474" s="3"/>
      <c r="B474" s="3"/>
      <c r="C474" s="3"/>
    </row>
    <row r="475" spans="1:3" x14ac:dyDescent="0.2">
      <c r="A475" s="3"/>
      <c r="B475" s="3"/>
      <c r="C475" s="3"/>
    </row>
    <row r="476" spans="1:3" x14ac:dyDescent="0.2">
      <c r="A476" s="3"/>
      <c r="B476" s="3"/>
      <c r="C476" s="3"/>
    </row>
    <row r="477" spans="1:3" x14ac:dyDescent="0.2">
      <c r="A477" s="3"/>
      <c r="B477" s="3"/>
      <c r="C477" s="3"/>
    </row>
    <row r="478" spans="1:3" x14ac:dyDescent="0.2">
      <c r="A478" s="3"/>
      <c r="B478" s="3"/>
      <c r="C478" s="3"/>
    </row>
    <row r="479" spans="1:3" x14ac:dyDescent="0.2">
      <c r="A479" s="3"/>
      <c r="B479" s="3"/>
      <c r="C479" s="3"/>
    </row>
    <row r="480" spans="1:3" x14ac:dyDescent="0.2">
      <c r="A480" s="3"/>
      <c r="B480" s="3"/>
      <c r="C480" s="3"/>
    </row>
    <row r="481" spans="1:3" x14ac:dyDescent="0.2">
      <c r="A481" s="3"/>
      <c r="B481" s="3"/>
      <c r="C481" s="3"/>
    </row>
    <row r="482" spans="1:3" x14ac:dyDescent="0.2">
      <c r="A482" s="3"/>
      <c r="B482" s="3"/>
      <c r="C482" s="3"/>
    </row>
    <row r="483" spans="1:3" x14ac:dyDescent="0.2">
      <c r="A483" s="3"/>
      <c r="B483" s="3"/>
      <c r="C483" s="3"/>
    </row>
    <row r="484" spans="1:3" x14ac:dyDescent="0.2">
      <c r="A484" s="3"/>
      <c r="B484" s="3"/>
      <c r="C484" s="3"/>
    </row>
    <row r="485" spans="1:3" x14ac:dyDescent="0.2">
      <c r="A485" s="3"/>
      <c r="B485" s="3"/>
      <c r="C485" s="3"/>
    </row>
    <row r="486" spans="1:3" x14ac:dyDescent="0.2">
      <c r="A486" s="3"/>
      <c r="B486" s="3"/>
      <c r="C486" s="3"/>
    </row>
    <row r="487" spans="1:3" x14ac:dyDescent="0.2">
      <c r="A487" s="3"/>
      <c r="B487" s="3"/>
      <c r="C487" s="3"/>
    </row>
    <row r="488" spans="1:3" x14ac:dyDescent="0.2">
      <c r="A488" s="3"/>
      <c r="B488" s="3"/>
      <c r="C488" s="3"/>
    </row>
    <row r="489" spans="1:3" x14ac:dyDescent="0.2">
      <c r="A489" s="3"/>
      <c r="B489" s="3"/>
      <c r="C489" s="3"/>
    </row>
    <row r="490" spans="1:3" x14ac:dyDescent="0.2">
      <c r="A490" s="3"/>
      <c r="B490" s="3"/>
      <c r="C490" s="3"/>
    </row>
    <row r="491" spans="1:3" x14ac:dyDescent="0.2">
      <c r="A491" s="3"/>
      <c r="B491" s="3"/>
      <c r="C491" s="3"/>
    </row>
    <row r="492" spans="1:3" x14ac:dyDescent="0.2">
      <c r="A492" s="3"/>
      <c r="B492" s="3"/>
      <c r="C492" s="3"/>
    </row>
    <row r="493" spans="1:3" x14ac:dyDescent="0.2">
      <c r="A493" s="3"/>
      <c r="B493" s="3"/>
      <c r="C493" s="3"/>
    </row>
    <row r="494" spans="1:3" x14ac:dyDescent="0.2">
      <c r="A494" s="3"/>
      <c r="B494" s="3"/>
      <c r="C494" s="3"/>
    </row>
    <row r="495" spans="1:3" x14ac:dyDescent="0.2">
      <c r="A495" s="3"/>
      <c r="B495" s="3"/>
      <c r="C495" s="3"/>
    </row>
    <row r="496" spans="1:3" x14ac:dyDescent="0.2">
      <c r="A496" s="3"/>
      <c r="B496" s="3"/>
      <c r="C496" s="3"/>
    </row>
    <row r="497" spans="1:3" x14ac:dyDescent="0.2">
      <c r="A497" s="3"/>
      <c r="B497" s="3"/>
      <c r="C497" s="3"/>
    </row>
    <row r="498" spans="1:3" x14ac:dyDescent="0.2">
      <c r="A498" s="3"/>
      <c r="B498" s="3"/>
      <c r="C498" s="3"/>
    </row>
    <row r="499" spans="1:3" x14ac:dyDescent="0.2">
      <c r="A499" s="3"/>
      <c r="B499" s="3"/>
      <c r="C499" s="3"/>
    </row>
    <row r="500" spans="1:3" x14ac:dyDescent="0.2">
      <c r="A500" s="3"/>
      <c r="B500" s="3"/>
      <c r="C500" s="3"/>
    </row>
    <row r="501" spans="1:3" x14ac:dyDescent="0.2">
      <c r="A501" s="3"/>
      <c r="B501" s="3"/>
      <c r="C501" s="3"/>
    </row>
    <row r="502" spans="1:3" x14ac:dyDescent="0.2">
      <c r="A502" s="3"/>
      <c r="B502" s="3"/>
      <c r="C502" s="3"/>
    </row>
    <row r="503" spans="1:3" x14ac:dyDescent="0.2">
      <c r="A503" s="3"/>
      <c r="B503" s="3"/>
      <c r="C503" s="3"/>
    </row>
    <row r="504" spans="1:3" x14ac:dyDescent="0.2">
      <c r="A504" s="3"/>
      <c r="B504" s="3"/>
      <c r="C504" s="3"/>
    </row>
    <row r="505" spans="1:3" x14ac:dyDescent="0.2">
      <c r="A505" s="3"/>
      <c r="B505" s="3"/>
      <c r="C505" s="3"/>
    </row>
    <row r="506" spans="1:3" x14ac:dyDescent="0.2">
      <c r="A506" s="3"/>
      <c r="B506" s="3"/>
      <c r="C506" s="3"/>
    </row>
    <row r="507" spans="1:3" x14ac:dyDescent="0.2">
      <c r="A507" s="3"/>
      <c r="B507" s="3"/>
      <c r="C507" s="3"/>
    </row>
    <row r="508" spans="1:3" x14ac:dyDescent="0.2">
      <c r="A508" s="3"/>
      <c r="B508" s="3"/>
      <c r="C508" s="3"/>
    </row>
    <row r="509" spans="1:3" x14ac:dyDescent="0.2">
      <c r="A509" s="3"/>
      <c r="B509" s="3"/>
      <c r="C509" s="3"/>
    </row>
    <row r="510" spans="1:3" x14ac:dyDescent="0.2">
      <c r="A510" s="3"/>
      <c r="B510" s="3"/>
      <c r="C510" s="3"/>
    </row>
    <row r="511" spans="1:3" x14ac:dyDescent="0.2">
      <c r="A511" s="3"/>
      <c r="B511" s="3"/>
      <c r="C511" s="3"/>
    </row>
    <row r="512" spans="1:3" x14ac:dyDescent="0.2">
      <c r="A512" s="3"/>
      <c r="B512" s="3"/>
      <c r="C512" s="3"/>
    </row>
    <row r="513" spans="1:3" x14ac:dyDescent="0.2">
      <c r="A513" s="3"/>
      <c r="B513" s="3"/>
      <c r="C513" s="3"/>
    </row>
    <row r="514" spans="1:3" x14ac:dyDescent="0.2">
      <c r="A514" s="3"/>
      <c r="B514" s="3"/>
      <c r="C514" s="3"/>
    </row>
    <row r="515" spans="1:3" x14ac:dyDescent="0.2">
      <c r="A515" s="3"/>
      <c r="B515" s="3"/>
      <c r="C515" s="3"/>
    </row>
    <row r="516" spans="1:3" x14ac:dyDescent="0.2">
      <c r="A516" s="3"/>
      <c r="B516" s="3"/>
      <c r="C516" s="3"/>
    </row>
    <row r="517" spans="1:3" x14ac:dyDescent="0.2">
      <c r="A517" s="3"/>
      <c r="B517" s="3"/>
      <c r="C517" s="3"/>
    </row>
    <row r="518" spans="1:3" x14ac:dyDescent="0.2">
      <c r="A518" s="3"/>
      <c r="B518" s="3"/>
      <c r="C518" s="3"/>
    </row>
    <row r="519" spans="1:3" x14ac:dyDescent="0.2">
      <c r="A519" s="3"/>
      <c r="B519" s="3"/>
      <c r="C519" s="3"/>
    </row>
    <row r="520" spans="1:3" x14ac:dyDescent="0.2">
      <c r="A520" s="3"/>
      <c r="B520" s="3"/>
      <c r="C520" s="3"/>
    </row>
    <row r="521" spans="1:3" x14ac:dyDescent="0.2">
      <c r="A521" s="3"/>
      <c r="B521" s="3"/>
      <c r="C521" s="3"/>
    </row>
    <row r="522" spans="1:3" x14ac:dyDescent="0.2">
      <c r="A522" s="3"/>
      <c r="B522" s="3"/>
      <c r="C522" s="3"/>
    </row>
    <row r="523" spans="1:3" x14ac:dyDescent="0.2">
      <c r="A523" s="3"/>
      <c r="B523" s="3"/>
      <c r="C523" s="3"/>
    </row>
    <row r="524" spans="1:3" x14ac:dyDescent="0.2">
      <c r="A524" s="3"/>
      <c r="B524" s="3"/>
      <c r="C524" s="3"/>
    </row>
    <row r="525" spans="1:3" x14ac:dyDescent="0.2">
      <c r="A525" s="3"/>
      <c r="B525" s="3"/>
      <c r="C525" s="3"/>
    </row>
    <row r="526" spans="1:3" x14ac:dyDescent="0.2">
      <c r="A526" s="3"/>
      <c r="B526" s="3"/>
      <c r="C526" s="3"/>
    </row>
    <row r="527" spans="1:3" x14ac:dyDescent="0.2">
      <c r="A527" s="3"/>
      <c r="B527" s="3"/>
      <c r="C527" s="3"/>
    </row>
    <row r="528" spans="1:3" x14ac:dyDescent="0.2">
      <c r="A528" s="3"/>
      <c r="B528" s="3"/>
      <c r="C528" s="3"/>
    </row>
    <row r="529" spans="1:3" x14ac:dyDescent="0.2">
      <c r="A529" s="3"/>
      <c r="B529" s="3"/>
      <c r="C529" s="3"/>
    </row>
    <row r="530" spans="1:3" x14ac:dyDescent="0.2">
      <c r="A530" s="3"/>
      <c r="B530" s="3"/>
      <c r="C530" s="3"/>
    </row>
    <row r="531" spans="1:3" x14ac:dyDescent="0.2">
      <c r="A531" s="3"/>
      <c r="B531" s="3"/>
      <c r="C531" s="3"/>
    </row>
    <row r="532" spans="1:3" x14ac:dyDescent="0.2">
      <c r="A532" s="3"/>
      <c r="B532" s="3"/>
      <c r="C532" s="3"/>
    </row>
    <row r="533" spans="1:3" x14ac:dyDescent="0.2">
      <c r="A533" s="3"/>
      <c r="B533" s="3"/>
      <c r="C533" s="3"/>
    </row>
    <row r="534" spans="1:3" x14ac:dyDescent="0.2">
      <c r="A534" s="3"/>
      <c r="B534" s="3"/>
      <c r="C534" s="3"/>
    </row>
    <row r="535" spans="1:3" x14ac:dyDescent="0.2">
      <c r="A535" s="3"/>
      <c r="B535" s="3"/>
      <c r="C535" s="3"/>
    </row>
    <row r="536" spans="1:3" x14ac:dyDescent="0.2">
      <c r="A536" s="3"/>
      <c r="B536" s="3"/>
      <c r="C536" s="3"/>
    </row>
    <row r="537" spans="1:3" x14ac:dyDescent="0.2">
      <c r="A537" s="3"/>
      <c r="B537" s="3"/>
      <c r="C537" s="3"/>
    </row>
    <row r="538" spans="1:3" x14ac:dyDescent="0.2">
      <c r="A538" s="3"/>
      <c r="B538" s="3"/>
      <c r="C538" s="3"/>
    </row>
    <row r="539" spans="1:3" x14ac:dyDescent="0.2">
      <c r="A539" s="3"/>
      <c r="B539" s="3"/>
      <c r="C539" s="3"/>
    </row>
    <row r="540" spans="1:3" x14ac:dyDescent="0.2">
      <c r="A540" s="3"/>
      <c r="B540" s="3"/>
      <c r="C540" s="3"/>
    </row>
    <row r="541" spans="1:3" x14ac:dyDescent="0.2">
      <c r="A541" s="3"/>
      <c r="B541" s="3"/>
      <c r="C541" s="3"/>
    </row>
    <row r="542" spans="1:3" x14ac:dyDescent="0.2">
      <c r="A542" s="3"/>
      <c r="B542" s="3"/>
      <c r="C542" s="3"/>
    </row>
    <row r="543" spans="1:3" x14ac:dyDescent="0.2">
      <c r="A543" s="3"/>
      <c r="B543" s="3"/>
      <c r="C543" s="3"/>
    </row>
    <row r="544" spans="1:3" x14ac:dyDescent="0.2">
      <c r="A544" s="3"/>
      <c r="B544" s="3"/>
      <c r="C544" s="3"/>
    </row>
    <row r="545" spans="1:3" x14ac:dyDescent="0.2">
      <c r="A545" s="3"/>
      <c r="B545" s="3"/>
      <c r="C545" s="3"/>
    </row>
    <row r="546" spans="1:3" x14ac:dyDescent="0.2">
      <c r="A546" s="3"/>
      <c r="B546" s="3"/>
      <c r="C546" s="3"/>
    </row>
    <row r="547" spans="1:3" x14ac:dyDescent="0.2">
      <c r="A547" s="3"/>
      <c r="B547" s="3"/>
      <c r="C547" s="3"/>
    </row>
    <row r="548" spans="1:3" x14ac:dyDescent="0.2">
      <c r="A548" s="3"/>
      <c r="B548" s="3"/>
      <c r="C548" s="3"/>
    </row>
    <row r="549" spans="1:3" x14ac:dyDescent="0.2">
      <c r="A549" s="3"/>
      <c r="B549" s="3"/>
      <c r="C549" s="3"/>
    </row>
    <row r="550" spans="1:3" x14ac:dyDescent="0.2">
      <c r="A550" s="3"/>
      <c r="B550" s="3"/>
      <c r="C550" s="3"/>
    </row>
    <row r="551" spans="1:3" x14ac:dyDescent="0.2">
      <c r="A551" s="3"/>
      <c r="B551" s="3"/>
      <c r="C551" s="3"/>
    </row>
    <row r="552" spans="1:3" x14ac:dyDescent="0.2">
      <c r="A552" s="3"/>
      <c r="B552" s="3"/>
      <c r="C552" s="3"/>
    </row>
    <row r="553" spans="1:3" x14ac:dyDescent="0.2">
      <c r="A553" s="3"/>
      <c r="B553" s="3"/>
      <c r="C553" s="3"/>
    </row>
    <row r="554" spans="1:3" x14ac:dyDescent="0.2">
      <c r="A554" s="3"/>
      <c r="B554" s="3"/>
      <c r="C554" s="3"/>
    </row>
    <row r="555" spans="1:3" x14ac:dyDescent="0.2">
      <c r="A555" s="3"/>
      <c r="B555" s="3"/>
      <c r="C555" s="3"/>
    </row>
    <row r="556" spans="1:3" x14ac:dyDescent="0.2">
      <c r="A556" s="3"/>
      <c r="B556" s="3"/>
      <c r="C556" s="3"/>
    </row>
    <row r="557" spans="1:3" x14ac:dyDescent="0.2">
      <c r="A557" s="3"/>
      <c r="B557" s="3"/>
      <c r="C557" s="3"/>
    </row>
    <row r="558" spans="1:3" x14ac:dyDescent="0.2">
      <c r="A558" s="3"/>
      <c r="B558" s="3"/>
      <c r="C558" s="3"/>
    </row>
    <row r="559" spans="1:3" x14ac:dyDescent="0.2">
      <c r="A559" s="3"/>
      <c r="B559" s="3"/>
      <c r="C559" s="3"/>
    </row>
    <row r="560" spans="1:3" x14ac:dyDescent="0.2">
      <c r="A560" s="3"/>
      <c r="B560" s="3"/>
      <c r="C560" s="3"/>
    </row>
    <row r="561" spans="1:3" x14ac:dyDescent="0.2">
      <c r="A561" s="3"/>
      <c r="B561" s="3"/>
      <c r="C561" s="3"/>
    </row>
    <row r="562" spans="1:3" x14ac:dyDescent="0.2">
      <c r="A562" s="3"/>
      <c r="B562" s="3"/>
      <c r="C562" s="3"/>
    </row>
    <row r="563" spans="1:3" x14ac:dyDescent="0.2">
      <c r="A563" s="3"/>
      <c r="B563" s="3"/>
      <c r="C563" s="3"/>
    </row>
    <row r="564" spans="1:3" x14ac:dyDescent="0.2">
      <c r="A564" s="3"/>
      <c r="B564" s="3"/>
      <c r="C564" s="3"/>
    </row>
    <row r="565" spans="1:3" x14ac:dyDescent="0.2">
      <c r="A565" s="3"/>
      <c r="B565" s="3"/>
      <c r="C565" s="3"/>
    </row>
    <row r="566" spans="1:3" x14ac:dyDescent="0.2">
      <c r="A566" s="3"/>
      <c r="B566" s="3"/>
      <c r="C566" s="3"/>
    </row>
    <row r="567" spans="1:3" x14ac:dyDescent="0.2">
      <c r="A567" s="3"/>
      <c r="B567" s="3"/>
      <c r="C567" s="3"/>
    </row>
    <row r="568" spans="1:3" x14ac:dyDescent="0.2">
      <c r="A568" s="3"/>
      <c r="B568" s="3"/>
      <c r="C568" s="3"/>
    </row>
    <row r="569" spans="1:3" x14ac:dyDescent="0.2">
      <c r="A569" s="3"/>
      <c r="B569" s="3"/>
      <c r="C569" s="3"/>
    </row>
    <row r="570" spans="1:3" x14ac:dyDescent="0.2">
      <c r="A570" s="3"/>
      <c r="B570" s="3"/>
      <c r="C570" s="3"/>
    </row>
    <row r="571" spans="1:3" x14ac:dyDescent="0.2">
      <c r="A571" s="3"/>
      <c r="B571" s="3"/>
      <c r="C571" s="3"/>
    </row>
    <row r="572" spans="1:3" x14ac:dyDescent="0.2">
      <c r="A572" s="3"/>
      <c r="B572" s="3"/>
      <c r="C572" s="3"/>
    </row>
    <row r="573" spans="1:3" x14ac:dyDescent="0.2">
      <c r="A573" s="3"/>
      <c r="B573" s="3"/>
      <c r="C573" s="3"/>
    </row>
    <row r="574" spans="1:3" x14ac:dyDescent="0.2">
      <c r="A574" s="3"/>
      <c r="B574" s="3"/>
      <c r="C574" s="3"/>
    </row>
    <row r="575" spans="1:3" x14ac:dyDescent="0.2">
      <c r="A575" s="3"/>
      <c r="B575" s="3"/>
      <c r="C575" s="3"/>
    </row>
    <row r="576" spans="1:3" x14ac:dyDescent="0.2">
      <c r="A576" s="3"/>
      <c r="B576" s="3"/>
      <c r="C576" s="3"/>
    </row>
    <row r="577" spans="1:3" x14ac:dyDescent="0.2">
      <c r="A577" s="3"/>
      <c r="B577" s="3"/>
      <c r="C577" s="3"/>
    </row>
    <row r="578" spans="1:3" x14ac:dyDescent="0.2">
      <c r="A578" s="3"/>
      <c r="B578" s="3"/>
      <c r="C578" s="3"/>
    </row>
    <row r="579" spans="1:3" x14ac:dyDescent="0.2">
      <c r="A579" s="3"/>
      <c r="B579" s="3"/>
      <c r="C579" s="3"/>
    </row>
    <row r="580" spans="1:3" x14ac:dyDescent="0.2">
      <c r="A580" s="3"/>
      <c r="B580" s="3"/>
      <c r="C580" s="3"/>
    </row>
    <row r="581" spans="1:3" x14ac:dyDescent="0.2">
      <c r="A581" s="3"/>
      <c r="B581" s="3"/>
      <c r="C581" s="3"/>
    </row>
    <row r="582" spans="1:3" x14ac:dyDescent="0.2">
      <c r="A582" s="3"/>
      <c r="B582" s="3"/>
      <c r="C582" s="3"/>
    </row>
    <row r="583" spans="1:3" x14ac:dyDescent="0.2">
      <c r="A583" s="3"/>
      <c r="B583" s="3"/>
      <c r="C583" s="3"/>
    </row>
    <row r="584" spans="1:3" x14ac:dyDescent="0.2">
      <c r="A584" s="3"/>
      <c r="B584" s="3"/>
      <c r="C584" s="3"/>
    </row>
    <row r="585" spans="1:3" x14ac:dyDescent="0.2">
      <c r="A585" s="3"/>
      <c r="B585" s="3"/>
      <c r="C585" s="3"/>
    </row>
    <row r="586" spans="1:3" x14ac:dyDescent="0.2">
      <c r="A586" s="3"/>
      <c r="B586" s="3"/>
      <c r="C586" s="3"/>
    </row>
    <row r="587" spans="1:3" x14ac:dyDescent="0.2">
      <c r="A587" s="3"/>
      <c r="B587" s="3"/>
      <c r="C587" s="3"/>
    </row>
    <row r="588" spans="1:3" x14ac:dyDescent="0.2">
      <c r="A588" s="3"/>
      <c r="B588" s="3"/>
      <c r="C588" s="3"/>
    </row>
    <row r="589" spans="1:3" x14ac:dyDescent="0.2">
      <c r="A589" s="3"/>
      <c r="B589" s="3"/>
      <c r="C589" s="3"/>
    </row>
    <row r="590" spans="1:3" x14ac:dyDescent="0.2">
      <c r="A590" s="3"/>
      <c r="B590" s="3"/>
      <c r="C590" s="3"/>
    </row>
    <row r="591" spans="1:3" x14ac:dyDescent="0.2">
      <c r="A591" s="3"/>
      <c r="B591" s="3"/>
      <c r="C591" s="3"/>
    </row>
    <row r="592" spans="1:3" x14ac:dyDescent="0.2">
      <c r="A592" s="3"/>
      <c r="B592" s="3"/>
      <c r="C592" s="3"/>
    </row>
    <row r="593" spans="1:3" x14ac:dyDescent="0.2">
      <c r="A593" s="3"/>
      <c r="B593" s="3"/>
      <c r="C593" s="3"/>
    </row>
    <row r="594" spans="1:3" x14ac:dyDescent="0.2">
      <c r="A594" s="3"/>
      <c r="B594" s="3"/>
      <c r="C594" s="3"/>
    </row>
    <row r="595" spans="1:3" x14ac:dyDescent="0.2">
      <c r="A595" s="3"/>
      <c r="B595" s="3"/>
      <c r="C595" s="3"/>
    </row>
    <row r="596" spans="1:3" x14ac:dyDescent="0.2">
      <c r="A596" s="3"/>
      <c r="B596" s="3"/>
      <c r="C596" s="3"/>
    </row>
    <row r="597" spans="1:3" x14ac:dyDescent="0.2">
      <c r="A597" s="3"/>
      <c r="B597" s="3"/>
      <c r="C597" s="3"/>
    </row>
    <row r="598" spans="1:3" x14ac:dyDescent="0.2">
      <c r="A598" s="3"/>
      <c r="B598" s="3"/>
      <c r="C598" s="3"/>
    </row>
    <row r="599" spans="1:3" x14ac:dyDescent="0.2">
      <c r="A599" s="3"/>
      <c r="B599" s="3"/>
      <c r="C599" s="3"/>
    </row>
    <row r="600" spans="1:3" x14ac:dyDescent="0.2">
      <c r="A600" s="3"/>
      <c r="B600" s="3"/>
      <c r="C600" s="3"/>
    </row>
    <row r="601" spans="1:3" x14ac:dyDescent="0.2">
      <c r="A601" s="3"/>
      <c r="B601" s="3"/>
      <c r="C601" s="3"/>
    </row>
    <row r="602" spans="1:3" x14ac:dyDescent="0.2">
      <c r="A602" s="3"/>
      <c r="B602" s="3"/>
      <c r="C602" s="3"/>
    </row>
    <row r="603" spans="1:3" x14ac:dyDescent="0.2">
      <c r="A603" s="3"/>
      <c r="B603" s="3"/>
      <c r="C603" s="3"/>
    </row>
    <row r="604" spans="1:3" x14ac:dyDescent="0.2">
      <c r="A604" s="3"/>
      <c r="B604" s="3"/>
      <c r="C604" s="3"/>
    </row>
    <row r="605" spans="1:3" x14ac:dyDescent="0.2">
      <c r="A605" s="3"/>
      <c r="B605" s="3"/>
      <c r="C605" s="3"/>
    </row>
    <row r="606" spans="1:3" x14ac:dyDescent="0.2">
      <c r="A606" s="3"/>
      <c r="B606" s="3"/>
      <c r="C606" s="3"/>
    </row>
    <row r="607" spans="1:3" x14ac:dyDescent="0.2">
      <c r="A607" s="3"/>
      <c r="B607" s="3"/>
      <c r="C607" s="3"/>
    </row>
    <row r="608" spans="1:3" x14ac:dyDescent="0.2">
      <c r="A608" s="3"/>
      <c r="B608" s="3"/>
      <c r="C608" s="3"/>
    </row>
    <row r="609" spans="1:3" x14ac:dyDescent="0.2">
      <c r="A609" s="3"/>
      <c r="B609" s="3"/>
      <c r="C609" s="3"/>
    </row>
    <row r="610" spans="1:3" x14ac:dyDescent="0.2">
      <c r="A610" s="3"/>
      <c r="B610" s="3"/>
      <c r="C610" s="3"/>
    </row>
    <row r="611" spans="1:3" x14ac:dyDescent="0.2">
      <c r="A611" s="3"/>
      <c r="B611" s="3"/>
      <c r="C611" s="3"/>
    </row>
    <row r="612" spans="1:3" x14ac:dyDescent="0.2">
      <c r="A612" s="3"/>
      <c r="B612" s="3"/>
      <c r="C612" s="3"/>
    </row>
    <row r="613" spans="1:3" x14ac:dyDescent="0.2">
      <c r="A613" s="3"/>
      <c r="B613" s="3"/>
      <c r="C613" s="3"/>
    </row>
    <row r="614" spans="1:3" x14ac:dyDescent="0.2">
      <c r="A614" s="3"/>
      <c r="B614" s="3"/>
      <c r="C614" s="3"/>
    </row>
    <row r="615" spans="1:3" x14ac:dyDescent="0.2">
      <c r="A615" s="3"/>
      <c r="B615" s="3"/>
      <c r="C615" s="3"/>
    </row>
    <row r="616" spans="1:3" x14ac:dyDescent="0.2">
      <c r="A616" s="3"/>
      <c r="B616" s="3"/>
      <c r="C616" s="3"/>
    </row>
    <row r="617" spans="1:3" x14ac:dyDescent="0.2">
      <c r="A617" s="3"/>
      <c r="B617" s="3"/>
      <c r="C617" s="3"/>
    </row>
    <row r="618" spans="1:3" x14ac:dyDescent="0.2">
      <c r="A618" s="3"/>
      <c r="B618" s="3"/>
      <c r="C618" s="3"/>
    </row>
    <row r="619" spans="1:3" x14ac:dyDescent="0.2">
      <c r="A619" s="3"/>
      <c r="B619" s="3"/>
      <c r="C619" s="3"/>
    </row>
    <row r="620" spans="1:3" x14ac:dyDescent="0.2">
      <c r="A620" s="3"/>
      <c r="B620" s="3"/>
      <c r="C620" s="3"/>
    </row>
    <row r="621" spans="1:3" x14ac:dyDescent="0.2">
      <c r="A621" s="3"/>
      <c r="B621" s="3"/>
      <c r="C621" s="3"/>
    </row>
    <row r="622" spans="1:3" x14ac:dyDescent="0.2">
      <c r="A622" s="3"/>
      <c r="B622" s="3"/>
      <c r="C622" s="3"/>
    </row>
    <row r="623" spans="1:3" x14ac:dyDescent="0.2">
      <c r="A623" s="3"/>
      <c r="B623" s="3"/>
      <c r="C623" s="3"/>
    </row>
    <row r="624" spans="1:3" x14ac:dyDescent="0.2">
      <c r="A624" s="3"/>
      <c r="B624" s="3"/>
      <c r="C624" s="3"/>
    </row>
    <row r="625" spans="1:3" x14ac:dyDescent="0.2">
      <c r="A625" s="3"/>
      <c r="B625" s="3"/>
      <c r="C625" s="3"/>
    </row>
    <row r="626" spans="1:3" x14ac:dyDescent="0.2">
      <c r="A626" s="3"/>
      <c r="B626" s="3"/>
      <c r="C626" s="3"/>
    </row>
    <row r="627" spans="1:3" x14ac:dyDescent="0.2">
      <c r="A627" s="3"/>
      <c r="B627" s="3"/>
      <c r="C627" s="3"/>
    </row>
    <row r="628" spans="1:3" x14ac:dyDescent="0.2">
      <c r="A628" s="3"/>
      <c r="B628" s="3"/>
      <c r="C628" s="3"/>
    </row>
    <row r="629" spans="1:3" x14ac:dyDescent="0.2">
      <c r="A629" s="3"/>
      <c r="B629" s="3"/>
      <c r="C629" s="3"/>
    </row>
    <row r="630" spans="1:3" x14ac:dyDescent="0.2">
      <c r="A630" s="3"/>
      <c r="B630" s="3"/>
      <c r="C630" s="3"/>
    </row>
    <row r="631" spans="1:3" x14ac:dyDescent="0.2">
      <c r="A631" s="3"/>
      <c r="B631" s="3"/>
      <c r="C631" s="3"/>
    </row>
    <row r="632" spans="1:3" x14ac:dyDescent="0.2">
      <c r="A632" s="3"/>
      <c r="B632" s="3"/>
      <c r="C632" s="3"/>
    </row>
    <row r="633" spans="1:3" x14ac:dyDescent="0.2">
      <c r="A633" s="3"/>
      <c r="B633" s="3"/>
      <c r="C633" s="3"/>
    </row>
    <row r="634" spans="1:3" x14ac:dyDescent="0.2">
      <c r="A634" s="3"/>
      <c r="B634" s="3"/>
      <c r="C634" s="3"/>
    </row>
    <row r="635" spans="1:3" x14ac:dyDescent="0.2">
      <c r="A635" s="3"/>
      <c r="B635" s="3"/>
      <c r="C635" s="3"/>
    </row>
    <row r="636" spans="1:3" x14ac:dyDescent="0.2">
      <c r="A636" s="3"/>
      <c r="B636" s="3"/>
      <c r="C636" s="3"/>
    </row>
    <row r="637" spans="1:3" x14ac:dyDescent="0.2">
      <c r="A637" s="3"/>
      <c r="B637" s="3"/>
      <c r="C637" s="3"/>
    </row>
    <row r="638" spans="1:3" x14ac:dyDescent="0.2">
      <c r="A638" s="3"/>
      <c r="B638" s="3"/>
      <c r="C638" s="3"/>
    </row>
    <row r="639" spans="1:3" x14ac:dyDescent="0.2">
      <c r="A639" s="3"/>
      <c r="B639" s="3"/>
      <c r="C639" s="3"/>
    </row>
    <row r="640" spans="1:3" x14ac:dyDescent="0.2">
      <c r="A640" s="3"/>
      <c r="B640" s="3"/>
      <c r="C640" s="3"/>
    </row>
    <row r="641" spans="1:3" x14ac:dyDescent="0.2">
      <c r="A641" s="3"/>
      <c r="B641" s="3"/>
      <c r="C641" s="3"/>
    </row>
    <row r="642" spans="1:3" x14ac:dyDescent="0.2">
      <c r="A642" s="3"/>
      <c r="B642" s="3"/>
      <c r="C642" s="3"/>
    </row>
    <row r="643" spans="1:3" x14ac:dyDescent="0.2">
      <c r="A643" s="3"/>
      <c r="B643" s="3"/>
      <c r="C643" s="3"/>
    </row>
    <row r="644" spans="1:3" x14ac:dyDescent="0.2">
      <c r="A644" s="3"/>
      <c r="B644" s="3"/>
      <c r="C644" s="3"/>
    </row>
    <row r="645" spans="1:3" x14ac:dyDescent="0.2">
      <c r="A645" s="3"/>
      <c r="B645" s="3"/>
      <c r="C645" s="3"/>
    </row>
    <row r="646" spans="1:3" x14ac:dyDescent="0.2">
      <c r="A646" s="3"/>
      <c r="B646" s="3"/>
      <c r="C646" s="3"/>
    </row>
    <row r="647" spans="1:3" x14ac:dyDescent="0.2">
      <c r="A647" s="3"/>
      <c r="B647" s="3"/>
      <c r="C647" s="3"/>
    </row>
    <row r="648" spans="1:3" x14ac:dyDescent="0.2">
      <c r="A648" s="3"/>
      <c r="B648" s="3"/>
      <c r="C648" s="3"/>
    </row>
    <row r="649" spans="1:3" x14ac:dyDescent="0.2">
      <c r="A649" s="3"/>
      <c r="B649" s="3"/>
      <c r="C649" s="3"/>
    </row>
    <row r="650" spans="1:3" x14ac:dyDescent="0.2">
      <c r="A650" s="3"/>
      <c r="B650" s="3"/>
      <c r="C650" s="3"/>
    </row>
    <row r="651" spans="1:3" x14ac:dyDescent="0.2">
      <c r="A651" s="3"/>
      <c r="B651" s="3"/>
      <c r="C651" s="3"/>
    </row>
    <row r="652" spans="1:3" x14ac:dyDescent="0.2">
      <c r="A652" s="3"/>
      <c r="B652" s="3"/>
      <c r="C652" s="3"/>
    </row>
    <row r="653" spans="1:3" x14ac:dyDescent="0.2">
      <c r="A653" s="3"/>
      <c r="B653" s="3"/>
      <c r="C653" s="3"/>
    </row>
    <row r="654" spans="1:3" x14ac:dyDescent="0.2">
      <c r="A654" s="3"/>
      <c r="B654" s="3"/>
      <c r="C654" s="3"/>
    </row>
    <row r="655" spans="1:3" x14ac:dyDescent="0.2">
      <c r="A655" s="3"/>
      <c r="B655" s="3"/>
      <c r="C655" s="3"/>
    </row>
    <row r="656" spans="1:3" x14ac:dyDescent="0.2">
      <c r="A656" s="3"/>
      <c r="B656" s="3"/>
      <c r="C656" s="3"/>
    </row>
    <row r="657" spans="1:3" x14ac:dyDescent="0.2">
      <c r="A657" s="3"/>
      <c r="B657" s="3"/>
      <c r="C657" s="3"/>
    </row>
    <row r="658" spans="1:3" x14ac:dyDescent="0.2">
      <c r="A658" s="3"/>
      <c r="B658" s="3"/>
      <c r="C658" s="3"/>
    </row>
    <row r="659" spans="1:3" x14ac:dyDescent="0.2">
      <c r="A659" s="3"/>
      <c r="B659" s="3"/>
      <c r="C659" s="3"/>
    </row>
    <row r="660" spans="1:3" x14ac:dyDescent="0.2">
      <c r="A660" s="3"/>
      <c r="B660" s="3"/>
      <c r="C660" s="3"/>
    </row>
    <row r="661" spans="1:3" x14ac:dyDescent="0.2">
      <c r="A661" s="3"/>
      <c r="B661" s="3"/>
      <c r="C661" s="3"/>
    </row>
    <row r="662" spans="1:3" x14ac:dyDescent="0.2">
      <c r="A662" s="3"/>
      <c r="B662" s="3"/>
      <c r="C662" s="3"/>
    </row>
    <row r="663" spans="1:3" x14ac:dyDescent="0.2">
      <c r="A663" s="3"/>
      <c r="B663" s="3"/>
      <c r="C663" s="3"/>
    </row>
    <row r="664" spans="1:3" x14ac:dyDescent="0.2">
      <c r="A664" s="3"/>
      <c r="B664" s="3"/>
      <c r="C664" s="3"/>
    </row>
    <row r="665" spans="1:3" x14ac:dyDescent="0.2">
      <c r="A665" s="3"/>
      <c r="B665" s="3"/>
      <c r="C665" s="3"/>
    </row>
    <row r="666" spans="1:3" x14ac:dyDescent="0.2">
      <c r="A666" s="3"/>
      <c r="B666" s="3"/>
      <c r="C666" s="3"/>
    </row>
    <row r="667" spans="1:3" x14ac:dyDescent="0.2">
      <c r="A667" s="3"/>
      <c r="B667" s="3"/>
      <c r="C667" s="3"/>
    </row>
    <row r="668" spans="1:3" x14ac:dyDescent="0.2">
      <c r="A668" s="3"/>
      <c r="B668" s="3"/>
      <c r="C668" s="3"/>
    </row>
    <row r="669" spans="1:3" x14ac:dyDescent="0.2">
      <c r="A669" s="3"/>
      <c r="B669" s="3"/>
      <c r="C669" s="3"/>
    </row>
    <row r="670" spans="1:3" x14ac:dyDescent="0.2">
      <c r="A670" s="3"/>
      <c r="B670" s="3"/>
      <c r="C670" s="3"/>
    </row>
    <row r="671" spans="1:3" x14ac:dyDescent="0.2">
      <c r="A671" s="3"/>
      <c r="B671" s="3"/>
      <c r="C671" s="3"/>
    </row>
    <row r="672" spans="1:3" x14ac:dyDescent="0.2">
      <c r="A672" s="3"/>
      <c r="B672" s="3"/>
      <c r="C672" s="3"/>
    </row>
    <row r="673" spans="1:3" x14ac:dyDescent="0.2">
      <c r="A673" s="3"/>
      <c r="B673" s="3"/>
      <c r="C673" s="3"/>
    </row>
    <row r="674" spans="1:3" x14ac:dyDescent="0.2">
      <c r="A674" s="3"/>
      <c r="B674" s="3"/>
      <c r="C674" s="3"/>
    </row>
    <row r="675" spans="1:3" x14ac:dyDescent="0.2">
      <c r="A675" s="3"/>
      <c r="B675" s="3"/>
      <c r="C675" s="3"/>
    </row>
    <row r="676" spans="1:3" x14ac:dyDescent="0.2">
      <c r="A676" s="3"/>
      <c r="B676" s="3"/>
      <c r="C676" s="3"/>
    </row>
    <row r="677" spans="1:3" x14ac:dyDescent="0.2">
      <c r="A677" s="3"/>
      <c r="B677" s="3"/>
      <c r="C677" s="3"/>
    </row>
    <row r="678" spans="1:3" x14ac:dyDescent="0.2">
      <c r="A678" s="3"/>
      <c r="B678" s="3"/>
      <c r="C678" s="3"/>
    </row>
    <row r="679" spans="1:3" x14ac:dyDescent="0.2">
      <c r="A679" s="3"/>
      <c r="B679" s="3"/>
      <c r="C679" s="3"/>
    </row>
    <row r="680" spans="1:3" x14ac:dyDescent="0.2">
      <c r="A680" s="3"/>
      <c r="B680" s="3"/>
      <c r="C680" s="3"/>
    </row>
    <row r="681" spans="1:3" x14ac:dyDescent="0.2">
      <c r="A681" s="3"/>
      <c r="B681" s="3"/>
      <c r="C681" s="3"/>
    </row>
    <row r="682" spans="1:3" x14ac:dyDescent="0.2">
      <c r="A682" s="3"/>
      <c r="B682" s="3"/>
      <c r="C682" s="3"/>
    </row>
    <row r="683" spans="1:3" x14ac:dyDescent="0.2">
      <c r="A683" s="3"/>
      <c r="B683" s="3"/>
      <c r="C683" s="3"/>
    </row>
    <row r="684" spans="1:3" x14ac:dyDescent="0.2">
      <c r="A684" s="3"/>
      <c r="B684" s="3"/>
      <c r="C684" s="3"/>
    </row>
    <row r="685" spans="1:3" x14ac:dyDescent="0.2">
      <c r="A685" s="3"/>
      <c r="B685" s="3"/>
      <c r="C685" s="3"/>
    </row>
    <row r="686" spans="1:3" x14ac:dyDescent="0.2">
      <c r="A686" s="3"/>
      <c r="B686" s="3"/>
      <c r="C686" s="3"/>
    </row>
    <row r="687" spans="1:3" x14ac:dyDescent="0.2">
      <c r="A687" s="3"/>
      <c r="B687" s="3"/>
      <c r="C687" s="3"/>
    </row>
    <row r="688" spans="1:3" x14ac:dyDescent="0.2">
      <c r="A688" s="3"/>
      <c r="B688" s="3"/>
      <c r="C688" s="3"/>
    </row>
    <row r="689" spans="1:3" x14ac:dyDescent="0.2">
      <c r="A689" s="3"/>
      <c r="B689" s="3"/>
      <c r="C689" s="3"/>
    </row>
    <row r="690" spans="1:3" x14ac:dyDescent="0.2">
      <c r="A690" s="3"/>
      <c r="B690" s="3"/>
      <c r="C690" s="3"/>
    </row>
    <row r="691" spans="1:3" x14ac:dyDescent="0.2">
      <c r="A691" s="3"/>
      <c r="B691" s="3"/>
      <c r="C691" s="3"/>
    </row>
    <row r="692" spans="1:3" x14ac:dyDescent="0.2">
      <c r="A692" s="3"/>
      <c r="B692" s="3"/>
      <c r="C692" s="3"/>
    </row>
    <row r="693" spans="1:3" x14ac:dyDescent="0.2">
      <c r="A693" s="3"/>
      <c r="B693" s="3"/>
      <c r="C693" s="3"/>
    </row>
    <row r="694" spans="1:3" x14ac:dyDescent="0.2">
      <c r="A694" s="3"/>
      <c r="B694" s="3"/>
      <c r="C694" s="3"/>
    </row>
    <row r="695" spans="1:3" x14ac:dyDescent="0.2">
      <c r="A695" s="3"/>
      <c r="B695" s="3"/>
      <c r="C695" s="3"/>
    </row>
    <row r="696" spans="1:3" x14ac:dyDescent="0.2">
      <c r="A696" s="3"/>
      <c r="B696" s="3"/>
      <c r="C696" s="3"/>
    </row>
    <row r="697" spans="1:3" x14ac:dyDescent="0.2">
      <c r="A697" s="3"/>
      <c r="B697" s="3"/>
      <c r="C697" s="3"/>
    </row>
    <row r="698" spans="1:3" x14ac:dyDescent="0.2">
      <c r="A698" s="3"/>
      <c r="B698" s="3"/>
      <c r="C698" s="3"/>
    </row>
    <row r="699" spans="1:3" x14ac:dyDescent="0.2">
      <c r="A699" s="3"/>
      <c r="B699" s="3"/>
      <c r="C699" s="3"/>
    </row>
    <row r="700" spans="1:3" x14ac:dyDescent="0.2">
      <c r="A700" s="3"/>
      <c r="B700" s="3"/>
      <c r="C700" s="3"/>
    </row>
    <row r="701" spans="1:3" x14ac:dyDescent="0.2">
      <c r="A701" s="3"/>
      <c r="B701" s="3"/>
      <c r="C701" s="3"/>
    </row>
    <row r="702" spans="1:3" x14ac:dyDescent="0.2">
      <c r="A702" s="3"/>
      <c r="B702" s="3"/>
      <c r="C702" s="3"/>
    </row>
    <row r="703" spans="1:3" x14ac:dyDescent="0.2">
      <c r="A703" s="3"/>
      <c r="B703" s="3"/>
      <c r="C703" s="3"/>
    </row>
    <row r="704" spans="1:3" x14ac:dyDescent="0.2">
      <c r="A704" s="3"/>
      <c r="B704" s="3"/>
      <c r="C704" s="3"/>
    </row>
    <row r="705" spans="1:3" x14ac:dyDescent="0.2">
      <c r="A705" s="3"/>
      <c r="B705" s="3"/>
      <c r="C705" s="3"/>
    </row>
    <row r="706" spans="1:3" x14ac:dyDescent="0.2">
      <c r="A706" s="3"/>
      <c r="B706" s="3"/>
      <c r="C706" s="3"/>
    </row>
    <row r="707" spans="1:3" x14ac:dyDescent="0.2">
      <c r="A707" s="3"/>
      <c r="B707" s="3"/>
      <c r="C707" s="3"/>
    </row>
    <row r="708" spans="1:3" x14ac:dyDescent="0.2">
      <c r="A708" s="3"/>
      <c r="B708" s="3"/>
      <c r="C708" s="3"/>
    </row>
    <row r="709" spans="1:3" x14ac:dyDescent="0.2">
      <c r="A709" s="3"/>
      <c r="B709" s="3"/>
      <c r="C709" s="3"/>
    </row>
    <row r="710" spans="1:3" x14ac:dyDescent="0.2">
      <c r="A710" s="3"/>
      <c r="B710" s="3"/>
      <c r="C710" s="3"/>
    </row>
    <row r="711" spans="1:3" x14ac:dyDescent="0.2">
      <c r="A711" s="3"/>
      <c r="B711" s="3"/>
      <c r="C711" s="3"/>
    </row>
    <row r="712" spans="1:3" x14ac:dyDescent="0.2">
      <c r="A712" s="3"/>
      <c r="B712" s="3"/>
      <c r="C712" s="3"/>
    </row>
    <row r="713" spans="1:3" x14ac:dyDescent="0.2">
      <c r="A713" s="3"/>
      <c r="B713" s="3"/>
      <c r="C713" s="3"/>
    </row>
    <row r="714" spans="1:3" x14ac:dyDescent="0.2">
      <c r="A714" s="3"/>
      <c r="B714" s="3"/>
      <c r="C714" s="3"/>
    </row>
    <row r="715" spans="1:3" x14ac:dyDescent="0.2">
      <c r="A715" s="3"/>
      <c r="B715" s="3"/>
      <c r="C715" s="3"/>
    </row>
    <row r="716" spans="1:3" x14ac:dyDescent="0.2">
      <c r="A716" s="3"/>
      <c r="B716" s="3"/>
      <c r="C716" s="3"/>
    </row>
    <row r="717" spans="1:3" x14ac:dyDescent="0.2">
      <c r="A717" s="3"/>
      <c r="B717" s="3"/>
      <c r="C717" s="3"/>
    </row>
    <row r="718" spans="1:3" x14ac:dyDescent="0.2">
      <c r="A718" s="3"/>
      <c r="B718" s="3"/>
      <c r="C718" s="3"/>
    </row>
    <row r="719" spans="1:3" x14ac:dyDescent="0.2">
      <c r="A719" s="3"/>
      <c r="B719" s="3"/>
      <c r="C719" s="3"/>
    </row>
    <row r="720" spans="1:3" x14ac:dyDescent="0.2">
      <c r="A720" s="3"/>
      <c r="B720" s="3"/>
      <c r="C720" s="3"/>
    </row>
    <row r="721" spans="1:3" x14ac:dyDescent="0.2">
      <c r="A721" s="3"/>
      <c r="B721" s="3"/>
      <c r="C721" s="3"/>
    </row>
    <row r="722" spans="1:3" x14ac:dyDescent="0.2">
      <c r="A722" s="3"/>
      <c r="B722" s="3"/>
      <c r="C722" s="3"/>
    </row>
    <row r="723" spans="1:3" x14ac:dyDescent="0.2">
      <c r="A723" s="3"/>
      <c r="B723" s="3"/>
      <c r="C723" s="3"/>
    </row>
    <row r="724" spans="1:3" x14ac:dyDescent="0.2">
      <c r="A724" s="3"/>
      <c r="B724" s="3"/>
      <c r="C724" s="3"/>
    </row>
    <row r="725" spans="1:3" x14ac:dyDescent="0.2">
      <c r="A725" s="3"/>
      <c r="B725" s="3"/>
      <c r="C725" s="3"/>
    </row>
    <row r="726" spans="1:3" x14ac:dyDescent="0.2">
      <c r="A726" s="3"/>
      <c r="B726" s="3"/>
      <c r="C726" s="3"/>
    </row>
    <row r="727" spans="1:3" x14ac:dyDescent="0.2">
      <c r="A727" s="3"/>
      <c r="B727" s="3"/>
      <c r="C727" s="3"/>
    </row>
    <row r="728" spans="1:3" x14ac:dyDescent="0.2">
      <c r="A728" s="3"/>
      <c r="B728" s="3"/>
      <c r="C728" s="3"/>
    </row>
    <row r="729" spans="1:3" x14ac:dyDescent="0.2">
      <c r="A729" s="3"/>
      <c r="B729" s="3"/>
      <c r="C729" s="3"/>
    </row>
    <row r="730" spans="1:3" x14ac:dyDescent="0.2">
      <c r="A730" s="3"/>
      <c r="B730" s="3"/>
      <c r="C730" s="3"/>
    </row>
    <row r="731" spans="1:3" x14ac:dyDescent="0.2">
      <c r="A731" s="3"/>
      <c r="B731" s="3"/>
      <c r="C731" s="3"/>
    </row>
    <row r="732" spans="1:3" x14ac:dyDescent="0.2">
      <c r="A732" s="3"/>
      <c r="B732" s="3"/>
      <c r="C732" s="3"/>
    </row>
    <row r="733" spans="1:3" x14ac:dyDescent="0.2">
      <c r="A733" s="3"/>
      <c r="B733" s="3"/>
      <c r="C733" s="3"/>
    </row>
    <row r="734" spans="1:3" x14ac:dyDescent="0.2">
      <c r="A734" s="3"/>
      <c r="B734" s="3"/>
      <c r="C734" s="3"/>
    </row>
    <row r="735" spans="1:3" x14ac:dyDescent="0.2">
      <c r="A735" s="3"/>
      <c r="B735" s="3"/>
      <c r="C735" s="3"/>
    </row>
    <row r="736" spans="1:3" x14ac:dyDescent="0.2">
      <c r="A736" s="3"/>
      <c r="B736" s="3"/>
      <c r="C736" s="3"/>
    </row>
    <row r="737" spans="1:3" x14ac:dyDescent="0.2">
      <c r="A737" s="3"/>
      <c r="B737" s="3"/>
      <c r="C737" s="3"/>
    </row>
    <row r="738" spans="1:3" x14ac:dyDescent="0.2">
      <c r="A738" s="3"/>
      <c r="B738" s="3"/>
      <c r="C738" s="3"/>
    </row>
    <row r="739" spans="1:3" x14ac:dyDescent="0.2">
      <c r="A739" s="3"/>
      <c r="B739" s="3"/>
      <c r="C739" s="3"/>
    </row>
    <row r="740" spans="1:3" x14ac:dyDescent="0.2">
      <c r="A740" s="3"/>
      <c r="B740" s="3"/>
      <c r="C740" s="3"/>
    </row>
    <row r="741" spans="1:3" x14ac:dyDescent="0.2">
      <c r="A741" s="3"/>
      <c r="B741" s="3"/>
      <c r="C741" s="3"/>
    </row>
    <row r="742" spans="1:3" x14ac:dyDescent="0.2">
      <c r="A742" s="3"/>
      <c r="B742" s="3"/>
      <c r="C742" s="3"/>
    </row>
    <row r="743" spans="1:3" x14ac:dyDescent="0.2">
      <c r="A743" s="3"/>
      <c r="B743" s="3"/>
      <c r="C743" s="3"/>
    </row>
    <row r="744" spans="1:3" x14ac:dyDescent="0.2">
      <c r="A744" s="3"/>
      <c r="B744" s="3"/>
      <c r="C744" s="3"/>
    </row>
    <row r="745" spans="1:3" x14ac:dyDescent="0.2">
      <c r="A745" s="3"/>
      <c r="B745" s="3"/>
      <c r="C745" s="3"/>
    </row>
    <row r="746" spans="1:3" x14ac:dyDescent="0.2">
      <c r="A746" s="3"/>
      <c r="B746" s="3"/>
      <c r="C746" s="3"/>
    </row>
    <row r="747" spans="1:3" x14ac:dyDescent="0.2">
      <c r="A747" s="3"/>
      <c r="B747" s="3"/>
      <c r="C747" s="3"/>
    </row>
    <row r="748" spans="1:3" x14ac:dyDescent="0.2">
      <c r="A748" s="3"/>
      <c r="B748" s="3"/>
      <c r="C748" s="3"/>
    </row>
    <row r="749" spans="1:3" x14ac:dyDescent="0.2">
      <c r="A749" s="3"/>
      <c r="B749" s="3"/>
      <c r="C749" s="3"/>
    </row>
    <row r="750" spans="1:3" x14ac:dyDescent="0.2">
      <c r="A750" s="3"/>
      <c r="B750" s="3"/>
      <c r="C750" s="3"/>
    </row>
    <row r="751" spans="1:3" x14ac:dyDescent="0.2">
      <c r="A751" s="3"/>
      <c r="B751" s="3"/>
      <c r="C751" s="3"/>
    </row>
    <row r="752" spans="1:3" x14ac:dyDescent="0.2">
      <c r="A752" s="3"/>
      <c r="B752" s="3"/>
      <c r="C752" s="3"/>
    </row>
    <row r="753" spans="1:3" x14ac:dyDescent="0.2">
      <c r="A753" s="3"/>
      <c r="B753" s="3"/>
      <c r="C753" s="3"/>
    </row>
    <row r="754" spans="1:3" x14ac:dyDescent="0.2">
      <c r="A754" s="3"/>
      <c r="B754" s="3"/>
      <c r="C754" s="3"/>
    </row>
    <row r="755" spans="1:3" x14ac:dyDescent="0.2">
      <c r="A755" s="3"/>
      <c r="B755" s="3"/>
      <c r="C755" s="3"/>
    </row>
    <row r="756" spans="1:3" x14ac:dyDescent="0.2">
      <c r="A756" s="3"/>
      <c r="B756" s="3"/>
      <c r="C756" s="3"/>
    </row>
    <row r="757" spans="1:3" x14ac:dyDescent="0.2">
      <c r="A757" s="3"/>
      <c r="B757" s="3"/>
      <c r="C757" s="3"/>
    </row>
    <row r="758" spans="1:3" x14ac:dyDescent="0.2">
      <c r="A758" s="3"/>
      <c r="B758" s="3"/>
      <c r="C758" s="3"/>
    </row>
    <row r="759" spans="1:3" x14ac:dyDescent="0.2">
      <c r="A759" s="3"/>
      <c r="B759" s="3"/>
      <c r="C759" s="3"/>
    </row>
    <row r="760" spans="1:3" x14ac:dyDescent="0.2">
      <c r="A760" s="3"/>
      <c r="B760" s="3"/>
      <c r="C760" s="3"/>
    </row>
    <row r="761" spans="1:3" x14ac:dyDescent="0.2">
      <c r="A761" s="3"/>
      <c r="B761" s="3"/>
      <c r="C761" s="3"/>
    </row>
    <row r="762" spans="1:3" x14ac:dyDescent="0.2">
      <c r="A762" s="3"/>
      <c r="B762" s="3"/>
      <c r="C762" s="3"/>
    </row>
    <row r="763" spans="1:3" x14ac:dyDescent="0.2">
      <c r="A763" s="3"/>
      <c r="B763" s="3"/>
      <c r="C763" s="3"/>
    </row>
    <row r="764" spans="1:3" x14ac:dyDescent="0.2">
      <c r="A764" s="3"/>
      <c r="B764" s="3"/>
      <c r="C764" s="3"/>
    </row>
    <row r="765" spans="1:3" x14ac:dyDescent="0.2">
      <c r="A765" s="3"/>
      <c r="B765" s="3"/>
      <c r="C765" s="3"/>
    </row>
    <row r="766" spans="1:3" x14ac:dyDescent="0.2">
      <c r="A766" s="3"/>
      <c r="B766" s="3"/>
      <c r="C766" s="3"/>
    </row>
    <row r="767" spans="1:3" x14ac:dyDescent="0.2">
      <c r="A767" s="3"/>
      <c r="B767" s="3"/>
      <c r="C767" s="3"/>
    </row>
    <row r="768" spans="1:3" x14ac:dyDescent="0.2">
      <c r="A768" s="3"/>
      <c r="B768" s="3"/>
      <c r="C768" s="3"/>
    </row>
    <row r="769" spans="1:3" x14ac:dyDescent="0.2">
      <c r="A769" s="3"/>
      <c r="B769" s="3"/>
      <c r="C769" s="3"/>
    </row>
    <row r="770" spans="1:3" x14ac:dyDescent="0.2">
      <c r="A770" s="3"/>
      <c r="B770" s="3"/>
      <c r="C770" s="3"/>
    </row>
    <row r="771" spans="1:3" x14ac:dyDescent="0.2">
      <c r="A771" s="3"/>
      <c r="B771" s="3"/>
      <c r="C771" s="3"/>
    </row>
    <row r="772" spans="1:3" x14ac:dyDescent="0.2">
      <c r="A772" s="3"/>
      <c r="B772" s="3"/>
      <c r="C772" s="3"/>
    </row>
    <row r="773" spans="1:3" x14ac:dyDescent="0.2">
      <c r="A773" s="3"/>
      <c r="B773" s="3"/>
      <c r="C773" s="3"/>
    </row>
    <row r="774" spans="1:3" x14ac:dyDescent="0.2">
      <c r="A774" s="3"/>
      <c r="B774" s="3"/>
      <c r="C774" s="3"/>
    </row>
    <row r="775" spans="1:3" x14ac:dyDescent="0.2">
      <c r="A775" s="3"/>
      <c r="B775" s="3"/>
      <c r="C775" s="3"/>
    </row>
    <row r="776" spans="1:3" x14ac:dyDescent="0.2">
      <c r="A776" s="3"/>
      <c r="B776" s="3"/>
      <c r="C776" s="3"/>
    </row>
    <row r="777" spans="1:3" x14ac:dyDescent="0.2">
      <c r="A777" s="3"/>
      <c r="B777" s="3"/>
      <c r="C777" s="3"/>
    </row>
    <row r="778" spans="1:3" x14ac:dyDescent="0.2">
      <c r="A778" s="3"/>
      <c r="B778" s="3"/>
      <c r="C778" s="3"/>
    </row>
    <row r="779" spans="1:3" x14ac:dyDescent="0.2">
      <c r="A779" s="3"/>
      <c r="B779" s="3"/>
      <c r="C779" s="3"/>
    </row>
    <row r="780" spans="1:3" x14ac:dyDescent="0.2">
      <c r="A780" s="3"/>
      <c r="B780" s="3"/>
      <c r="C780" s="3"/>
    </row>
    <row r="781" spans="1:3" x14ac:dyDescent="0.2">
      <c r="A781" s="3"/>
      <c r="B781" s="3"/>
      <c r="C781" s="3"/>
    </row>
    <row r="782" spans="1:3" x14ac:dyDescent="0.2">
      <c r="A782" s="3"/>
      <c r="B782" s="3"/>
      <c r="C782" s="3"/>
    </row>
    <row r="783" spans="1:3" x14ac:dyDescent="0.2">
      <c r="A783" s="3"/>
      <c r="B783" s="3"/>
      <c r="C783" s="3"/>
    </row>
    <row r="784" spans="1:3" x14ac:dyDescent="0.2">
      <c r="A784" s="3"/>
      <c r="B784" s="3"/>
      <c r="C784" s="3"/>
    </row>
    <row r="785" spans="1:3" x14ac:dyDescent="0.2">
      <c r="A785" s="3"/>
      <c r="B785" s="3"/>
      <c r="C785" s="3"/>
    </row>
    <row r="786" spans="1:3" x14ac:dyDescent="0.2">
      <c r="A786" s="3"/>
      <c r="B786" s="3"/>
      <c r="C786" s="3"/>
    </row>
    <row r="787" spans="1:3" x14ac:dyDescent="0.2">
      <c r="A787" s="3"/>
      <c r="B787" s="3"/>
      <c r="C787" s="3"/>
    </row>
    <row r="788" spans="1:3" x14ac:dyDescent="0.2">
      <c r="A788" s="3"/>
      <c r="B788" s="3"/>
      <c r="C788" s="3"/>
    </row>
    <row r="789" spans="1:3" x14ac:dyDescent="0.2">
      <c r="A789" s="3"/>
      <c r="B789" s="3"/>
      <c r="C789" s="3"/>
    </row>
    <row r="790" spans="1:3" x14ac:dyDescent="0.2">
      <c r="A790" s="3"/>
      <c r="B790" s="3"/>
      <c r="C790" s="3"/>
    </row>
    <row r="791" spans="1:3" x14ac:dyDescent="0.2">
      <c r="A791" s="3"/>
      <c r="B791" s="3"/>
      <c r="C791" s="3"/>
    </row>
    <row r="792" spans="1:3" x14ac:dyDescent="0.2">
      <c r="A792" s="3"/>
      <c r="B792" s="3"/>
      <c r="C792" s="3"/>
    </row>
    <row r="793" spans="1:3" x14ac:dyDescent="0.2">
      <c r="A793" s="3"/>
      <c r="B793" s="3"/>
      <c r="C793" s="3"/>
    </row>
    <row r="794" spans="1:3" x14ac:dyDescent="0.2">
      <c r="A794" s="3"/>
      <c r="B794" s="3"/>
      <c r="C794" s="3"/>
    </row>
    <row r="795" spans="1:3" x14ac:dyDescent="0.2">
      <c r="A795" s="3"/>
      <c r="B795" s="3"/>
      <c r="C795" s="3"/>
    </row>
    <row r="796" spans="1:3" x14ac:dyDescent="0.2">
      <c r="A796" s="3"/>
      <c r="B796" s="3"/>
      <c r="C796" s="3"/>
    </row>
    <row r="797" spans="1:3" x14ac:dyDescent="0.2">
      <c r="A797" s="3"/>
      <c r="B797" s="3"/>
      <c r="C797" s="3"/>
    </row>
    <row r="798" spans="1:3" x14ac:dyDescent="0.2">
      <c r="A798" s="3"/>
      <c r="B798" s="3"/>
      <c r="C798" s="3"/>
    </row>
    <row r="799" spans="1:3" x14ac:dyDescent="0.2">
      <c r="A799" s="3"/>
      <c r="B799" s="3"/>
      <c r="C799" s="3"/>
    </row>
    <row r="800" spans="1:3" x14ac:dyDescent="0.2">
      <c r="A800" s="3"/>
      <c r="B800" s="3"/>
      <c r="C800" s="3"/>
    </row>
    <row r="801" spans="1:3" x14ac:dyDescent="0.2">
      <c r="A801" s="3"/>
      <c r="B801" s="3"/>
      <c r="C801" s="3"/>
    </row>
    <row r="802" spans="1:3" x14ac:dyDescent="0.2">
      <c r="A802" s="3"/>
      <c r="B802" s="3"/>
      <c r="C802" s="3"/>
    </row>
    <row r="803" spans="1:3" x14ac:dyDescent="0.2">
      <c r="A803" s="3"/>
      <c r="B803" s="3"/>
      <c r="C803" s="3"/>
    </row>
    <row r="804" spans="1:3" x14ac:dyDescent="0.2">
      <c r="A804" s="3"/>
      <c r="B804" s="3"/>
      <c r="C804" s="3"/>
    </row>
    <row r="805" spans="1:3" x14ac:dyDescent="0.2">
      <c r="A805" s="3"/>
      <c r="B805" s="3"/>
      <c r="C805" s="3"/>
    </row>
    <row r="806" spans="1:3" x14ac:dyDescent="0.2">
      <c r="A806" s="3"/>
      <c r="B806" s="3"/>
      <c r="C806" s="3"/>
    </row>
    <row r="807" spans="1:3" x14ac:dyDescent="0.2">
      <c r="A807" s="3"/>
      <c r="B807" s="3"/>
      <c r="C807" s="3"/>
    </row>
    <row r="808" spans="1:3" x14ac:dyDescent="0.2">
      <c r="A808" s="3"/>
      <c r="B808" s="3"/>
      <c r="C808" s="3"/>
    </row>
    <row r="809" spans="1:3" x14ac:dyDescent="0.2">
      <c r="A809" s="3"/>
      <c r="B809" s="3"/>
      <c r="C809" s="3"/>
    </row>
    <row r="810" spans="1:3" x14ac:dyDescent="0.2">
      <c r="A810" s="3"/>
      <c r="B810" s="3"/>
      <c r="C810" s="3"/>
    </row>
    <row r="811" spans="1:3" x14ac:dyDescent="0.2">
      <c r="A811" s="3"/>
      <c r="B811" s="3"/>
      <c r="C811" s="3"/>
    </row>
    <row r="812" spans="1:3" x14ac:dyDescent="0.2">
      <c r="A812" s="3"/>
      <c r="B812" s="3"/>
      <c r="C812" s="3"/>
    </row>
    <row r="813" spans="1:3" x14ac:dyDescent="0.2">
      <c r="A813" s="3"/>
      <c r="B813" s="3"/>
      <c r="C813" s="3"/>
    </row>
    <row r="814" spans="1:3" x14ac:dyDescent="0.2">
      <c r="A814" s="3"/>
      <c r="B814" s="3"/>
      <c r="C814" s="3"/>
    </row>
    <row r="815" spans="1:3" x14ac:dyDescent="0.2">
      <c r="A815" s="3"/>
      <c r="B815" s="3"/>
      <c r="C815" s="3"/>
    </row>
    <row r="816" spans="1:3" x14ac:dyDescent="0.2">
      <c r="A816" s="3"/>
      <c r="B816" s="3"/>
      <c r="C816" s="3"/>
    </row>
    <row r="817" spans="1:3" x14ac:dyDescent="0.2">
      <c r="A817" s="3"/>
      <c r="B817" s="3"/>
      <c r="C817" s="3"/>
    </row>
    <row r="818" spans="1:3" x14ac:dyDescent="0.2">
      <c r="A818" s="3"/>
      <c r="B818" s="3"/>
      <c r="C818" s="3"/>
    </row>
    <row r="819" spans="1:3" x14ac:dyDescent="0.2">
      <c r="A819" s="3"/>
      <c r="B819" s="3"/>
      <c r="C819" s="3"/>
    </row>
    <row r="820" spans="1:3" x14ac:dyDescent="0.2">
      <c r="A820" s="3"/>
      <c r="B820" s="3"/>
      <c r="C820" s="3"/>
    </row>
    <row r="821" spans="1:3" x14ac:dyDescent="0.2">
      <c r="A821" s="3"/>
      <c r="B821" s="3"/>
      <c r="C821" s="3"/>
    </row>
    <row r="822" spans="1:3" x14ac:dyDescent="0.2">
      <c r="A822" s="3"/>
      <c r="B822" s="3"/>
      <c r="C822" s="3"/>
    </row>
    <row r="823" spans="1:3" x14ac:dyDescent="0.2">
      <c r="A823" s="3"/>
      <c r="B823" s="3"/>
      <c r="C823" s="3"/>
    </row>
    <row r="824" spans="1:3" x14ac:dyDescent="0.2">
      <c r="A824" s="3"/>
      <c r="B824" s="3"/>
      <c r="C824" s="3"/>
    </row>
    <row r="825" spans="1:3" x14ac:dyDescent="0.2">
      <c r="A825" s="3"/>
      <c r="B825" s="3"/>
      <c r="C825" s="3"/>
    </row>
    <row r="826" spans="1:3" x14ac:dyDescent="0.2">
      <c r="A826" s="3"/>
      <c r="B826" s="3"/>
      <c r="C826" s="3"/>
    </row>
    <row r="827" spans="1:3" x14ac:dyDescent="0.2">
      <c r="A827" s="3"/>
      <c r="B827" s="3"/>
      <c r="C827" s="3"/>
    </row>
    <row r="828" spans="1:3" x14ac:dyDescent="0.2">
      <c r="A828" s="3"/>
      <c r="B828" s="3"/>
      <c r="C828" s="3"/>
    </row>
    <row r="829" spans="1:3" x14ac:dyDescent="0.2">
      <c r="A829" s="3"/>
      <c r="B829" s="3"/>
      <c r="C829" s="3"/>
    </row>
    <row r="830" spans="1:3" x14ac:dyDescent="0.2">
      <c r="A830" s="3"/>
      <c r="B830" s="3"/>
      <c r="C830" s="3"/>
    </row>
    <row r="831" spans="1:3" x14ac:dyDescent="0.2">
      <c r="A831" s="3"/>
      <c r="B831" s="3"/>
      <c r="C831" s="3"/>
    </row>
    <row r="832" spans="1:3" x14ac:dyDescent="0.2">
      <c r="A832" s="3"/>
      <c r="B832" s="3"/>
      <c r="C832" s="3"/>
    </row>
    <row r="833" spans="1:3" x14ac:dyDescent="0.2">
      <c r="A833" s="3"/>
      <c r="B833" s="3"/>
      <c r="C833" s="3"/>
    </row>
    <row r="834" spans="1:3" x14ac:dyDescent="0.2">
      <c r="A834" s="3"/>
      <c r="B834" s="3"/>
      <c r="C834" s="3"/>
    </row>
    <row r="835" spans="1:3" x14ac:dyDescent="0.2">
      <c r="A835" s="3"/>
      <c r="B835" s="3"/>
      <c r="C835" s="3"/>
    </row>
    <row r="836" spans="1:3" x14ac:dyDescent="0.2">
      <c r="A836" s="3"/>
      <c r="B836" s="3"/>
      <c r="C836" s="3"/>
    </row>
    <row r="837" spans="1:3" x14ac:dyDescent="0.2">
      <c r="A837" s="3"/>
      <c r="B837" s="3"/>
      <c r="C837" s="3"/>
    </row>
    <row r="838" spans="1:3" x14ac:dyDescent="0.2">
      <c r="A838" s="3"/>
      <c r="B838" s="3"/>
      <c r="C838" s="3"/>
    </row>
    <row r="839" spans="1:3" x14ac:dyDescent="0.2">
      <c r="A839" s="3"/>
      <c r="B839" s="3"/>
      <c r="C839" s="3"/>
    </row>
    <row r="840" spans="1:3" x14ac:dyDescent="0.2">
      <c r="A840" s="3"/>
      <c r="B840" s="3"/>
      <c r="C840" s="3"/>
    </row>
    <row r="841" spans="1:3" x14ac:dyDescent="0.2">
      <c r="A841" s="3"/>
      <c r="B841" s="3"/>
      <c r="C841" s="3"/>
    </row>
    <row r="842" spans="1:3" x14ac:dyDescent="0.2">
      <c r="A842" s="3"/>
      <c r="B842" s="3"/>
      <c r="C842" s="3"/>
    </row>
    <row r="843" spans="1:3" x14ac:dyDescent="0.2">
      <c r="A843" s="3"/>
      <c r="B843" s="3"/>
      <c r="C843" s="3"/>
    </row>
    <row r="844" spans="1:3" x14ac:dyDescent="0.2">
      <c r="A844" s="3"/>
      <c r="B844" s="3"/>
      <c r="C844" s="3"/>
    </row>
    <row r="845" spans="1:3" x14ac:dyDescent="0.2">
      <c r="A845" s="3"/>
      <c r="B845" s="3"/>
      <c r="C845" s="3"/>
    </row>
    <row r="846" spans="1:3" x14ac:dyDescent="0.2">
      <c r="A846" s="3"/>
      <c r="B846" s="3"/>
      <c r="C846" s="3"/>
    </row>
    <row r="847" spans="1:3" x14ac:dyDescent="0.2">
      <c r="A847" s="3"/>
      <c r="B847" s="3"/>
      <c r="C847" s="3"/>
    </row>
    <row r="848" spans="1:3" x14ac:dyDescent="0.2">
      <c r="A848" s="3"/>
      <c r="B848" s="3"/>
      <c r="C848" s="3"/>
    </row>
    <row r="849" spans="1:3" x14ac:dyDescent="0.2">
      <c r="A849" s="3"/>
      <c r="B849" s="3"/>
      <c r="C849" s="3"/>
    </row>
    <row r="850" spans="1:3" x14ac:dyDescent="0.2">
      <c r="A850" s="3"/>
      <c r="B850" s="3"/>
      <c r="C850" s="3"/>
    </row>
    <row r="851" spans="1:3" x14ac:dyDescent="0.2">
      <c r="A851" s="3"/>
      <c r="B851" s="3"/>
      <c r="C851" s="3"/>
    </row>
    <row r="852" spans="1:3" x14ac:dyDescent="0.2">
      <c r="A852" s="3"/>
      <c r="B852" s="3"/>
      <c r="C852" s="3"/>
    </row>
    <row r="853" spans="1:3" x14ac:dyDescent="0.2">
      <c r="A853" s="3"/>
      <c r="B853" s="3"/>
      <c r="C853" s="3"/>
    </row>
    <row r="854" spans="1:3" x14ac:dyDescent="0.2">
      <c r="A854" s="3"/>
      <c r="B854" s="3"/>
      <c r="C854" s="3"/>
    </row>
    <row r="855" spans="1:3" x14ac:dyDescent="0.2">
      <c r="A855" s="3"/>
      <c r="B855" s="3"/>
      <c r="C855" s="3"/>
    </row>
    <row r="856" spans="1:3" x14ac:dyDescent="0.2">
      <c r="A856" s="3"/>
      <c r="B856" s="3"/>
      <c r="C856" s="3"/>
    </row>
    <row r="857" spans="1:3" x14ac:dyDescent="0.2">
      <c r="A857" s="3"/>
      <c r="B857" s="3"/>
      <c r="C857" s="3"/>
    </row>
    <row r="858" spans="1:3" x14ac:dyDescent="0.2">
      <c r="A858" s="3"/>
      <c r="B858" s="3"/>
      <c r="C858" s="3"/>
    </row>
    <row r="859" spans="1:3" x14ac:dyDescent="0.2">
      <c r="A859" s="3"/>
      <c r="B859" s="3"/>
      <c r="C859" s="3"/>
    </row>
    <row r="860" spans="1:3" x14ac:dyDescent="0.2">
      <c r="A860" s="3"/>
      <c r="B860" s="3"/>
      <c r="C860" s="3"/>
    </row>
    <row r="861" spans="1:3" x14ac:dyDescent="0.2">
      <c r="A861" s="3"/>
      <c r="B861" s="3"/>
      <c r="C861" s="3"/>
    </row>
    <row r="862" spans="1:3" x14ac:dyDescent="0.2">
      <c r="A862" s="3"/>
      <c r="B862" s="3"/>
      <c r="C862" s="3"/>
    </row>
    <row r="863" spans="1:3" x14ac:dyDescent="0.2">
      <c r="A863" s="3"/>
      <c r="B863" s="3"/>
      <c r="C863" s="3"/>
    </row>
    <row r="864" spans="1:3" x14ac:dyDescent="0.2">
      <c r="A864" s="3"/>
      <c r="B864" s="3"/>
      <c r="C864" s="3"/>
    </row>
    <row r="865" spans="1:3" x14ac:dyDescent="0.2">
      <c r="A865" s="3"/>
      <c r="B865" s="3"/>
      <c r="C865" s="3"/>
    </row>
    <row r="866" spans="1:3" x14ac:dyDescent="0.2">
      <c r="A866" s="3"/>
      <c r="B866" s="3"/>
      <c r="C866" s="3"/>
    </row>
    <row r="867" spans="1:3" x14ac:dyDescent="0.2">
      <c r="A867" s="3"/>
      <c r="B867" s="3"/>
      <c r="C867" s="3"/>
    </row>
    <row r="868" spans="1:3" x14ac:dyDescent="0.2">
      <c r="A868" s="3"/>
      <c r="B868" s="3"/>
      <c r="C868" s="3"/>
    </row>
    <row r="869" spans="1:3" x14ac:dyDescent="0.2">
      <c r="A869" s="3"/>
      <c r="B869" s="3"/>
      <c r="C869" s="3"/>
    </row>
    <row r="870" spans="1:3" x14ac:dyDescent="0.2">
      <c r="A870" s="3"/>
      <c r="B870" s="3"/>
      <c r="C870" s="3"/>
    </row>
    <row r="871" spans="1:3" x14ac:dyDescent="0.2">
      <c r="A871" s="3"/>
      <c r="B871" s="3"/>
      <c r="C871" s="3"/>
    </row>
    <row r="872" spans="1:3" x14ac:dyDescent="0.2">
      <c r="A872" s="3"/>
      <c r="B872" s="3"/>
      <c r="C872" s="3"/>
    </row>
    <row r="873" spans="1:3" x14ac:dyDescent="0.2">
      <c r="A873" s="3"/>
      <c r="B873" s="3"/>
      <c r="C873" s="3"/>
    </row>
    <row r="874" spans="1:3" x14ac:dyDescent="0.2">
      <c r="A874" s="3"/>
      <c r="B874" s="3"/>
      <c r="C874" s="3"/>
    </row>
    <row r="875" spans="1:3" x14ac:dyDescent="0.2">
      <c r="A875" s="3"/>
      <c r="B875" s="3"/>
      <c r="C875" s="3"/>
    </row>
    <row r="876" spans="1:3" x14ac:dyDescent="0.2">
      <c r="A876" s="3"/>
      <c r="B876" s="3"/>
      <c r="C876" s="3"/>
    </row>
    <row r="877" spans="1:3" x14ac:dyDescent="0.2">
      <c r="A877" s="3"/>
      <c r="B877" s="3"/>
      <c r="C877" s="3"/>
    </row>
    <row r="878" spans="1:3" x14ac:dyDescent="0.2">
      <c r="A878" s="3"/>
      <c r="B878" s="3"/>
      <c r="C878" s="3"/>
    </row>
    <row r="879" spans="1:3" x14ac:dyDescent="0.2">
      <c r="A879" s="3"/>
      <c r="B879" s="3"/>
      <c r="C879" s="3"/>
    </row>
    <row r="880" spans="1:3" x14ac:dyDescent="0.2">
      <c r="A880" s="3"/>
      <c r="B880" s="3"/>
      <c r="C880" s="3"/>
    </row>
    <row r="881" spans="1:3" x14ac:dyDescent="0.2">
      <c r="A881" s="3"/>
      <c r="B881" s="3"/>
      <c r="C881" s="3"/>
    </row>
    <row r="882" spans="1:3" x14ac:dyDescent="0.2">
      <c r="A882" s="3"/>
      <c r="B882" s="3"/>
      <c r="C882" s="3"/>
    </row>
    <row r="883" spans="1:3" x14ac:dyDescent="0.2">
      <c r="A883" s="3"/>
      <c r="B883" s="3"/>
      <c r="C883" s="3"/>
    </row>
    <row r="884" spans="1:3" x14ac:dyDescent="0.2">
      <c r="A884" s="3"/>
      <c r="B884" s="3"/>
      <c r="C884" s="3"/>
    </row>
    <row r="885" spans="1:3" x14ac:dyDescent="0.2">
      <c r="A885" s="3"/>
      <c r="B885" s="3"/>
      <c r="C885" s="3"/>
    </row>
    <row r="886" spans="1:3" x14ac:dyDescent="0.2">
      <c r="A886" s="3"/>
      <c r="B886" s="3"/>
      <c r="C886" s="3"/>
    </row>
    <row r="887" spans="1:3" x14ac:dyDescent="0.2">
      <c r="A887" s="3"/>
      <c r="B887" s="3"/>
      <c r="C887" s="3"/>
    </row>
    <row r="888" spans="1:3" x14ac:dyDescent="0.2">
      <c r="A888" s="3"/>
      <c r="B888" s="3"/>
      <c r="C888" s="3"/>
    </row>
    <row r="889" spans="1:3" x14ac:dyDescent="0.2">
      <c r="A889" s="3"/>
      <c r="B889" s="3"/>
      <c r="C889" s="3"/>
    </row>
    <row r="890" spans="1:3" x14ac:dyDescent="0.2">
      <c r="A890" s="3"/>
      <c r="B890" s="3"/>
      <c r="C890" s="3"/>
    </row>
    <row r="891" spans="1:3" x14ac:dyDescent="0.2">
      <c r="A891" s="3"/>
      <c r="B891" s="3"/>
      <c r="C891" s="3"/>
    </row>
    <row r="892" spans="1:3" x14ac:dyDescent="0.2">
      <c r="A892" s="3"/>
      <c r="B892" s="3"/>
      <c r="C892" s="3"/>
    </row>
    <row r="893" spans="1:3" x14ac:dyDescent="0.2">
      <c r="A893" s="3"/>
      <c r="B893" s="3"/>
      <c r="C893" s="3"/>
    </row>
    <row r="894" spans="1:3" x14ac:dyDescent="0.2">
      <c r="A894" s="3"/>
      <c r="B894" s="3"/>
      <c r="C894" s="3"/>
    </row>
    <row r="895" spans="1:3" x14ac:dyDescent="0.2">
      <c r="A895" s="3"/>
      <c r="B895" s="3"/>
      <c r="C895" s="3"/>
    </row>
    <row r="896" spans="1:3" x14ac:dyDescent="0.2">
      <c r="A896" s="3"/>
      <c r="B896" s="3"/>
      <c r="C896" s="3"/>
    </row>
    <row r="897" spans="1:3" x14ac:dyDescent="0.2">
      <c r="A897" s="3"/>
      <c r="B897" s="3"/>
      <c r="C897" s="3"/>
    </row>
    <row r="898" spans="1:3" x14ac:dyDescent="0.2">
      <c r="A898" s="3"/>
      <c r="B898" s="3"/>
      <c r="C898" s="3"/>
    </row>
    <row r="899" spans="1:3" x14ac:dyDescent="0.2">
      <c r="A899" s="3"/>
      <c r="B899" s="3"/>
      <c r="C899" s="3"/>
    </row>
    <row r="900" spans="1:3" x14ac:dyDescent="0.2">
      <c r="A900" s="3"/>
      <c r="B900" s="3"/>
      <c r="C900" s="3"/>
    </row>
    <row r="901" spans="1:3" x14ac:dyDescent="0.2">
      <c r="A901" s="3"/>
      <c r="B901" s="3"/>
      <c r="C901" s="3"/>
    </row>
    <row r="902" spans="1:3" x14ac:dyDescent="0.2">
      <c r="A902" s="3"/>
      <c r="B902" s="3"/>
      <c r="C902" s="3"/>
    </row>
    <row r="903" spans="1:3" x14ac:dyDescent="0.2">
      <c r="A903" s="3"/>
      <c r="B903" s="3"/>
      <c r="C903" s="3"/>
    </row>
    <row r="904" spans="1:3" x14ac:dyDescent="0.2">
      <c r="A904" s="3"/>
      <c r="B904" s="3"/>
      <c r="C904" s="3"/>
    </row>
    <row r="905" spans="1:3" x14ac:dyDescent="0.2">
      <c r="A905" s="3"/>
      <c r="B905" s="3"/>
      <c r="C905" s="3"/>
    </row>
    <row r="906" spans="1:3" x14ac:dyDescent="0.2">
      <c r="A906" s="3"/>
      <c r="B906" s="3"/>
      <c r="C906" s="3"/>
    </row>
    <row r="907" spans="1:3" x14ac:dyDescent="0.2">
      <c r="A907" s="3"/>
      <c r="B907" s="3"/>
      <c r="C907" s="3"/>
    </row>
    <row r="908" spans="1:3" x14ac:dyDescent="0.2">
      <c r="A908" s="3"/>
      <c r="B908" s="3"/>
      <c r="C908" s="3"/>
    </row>
    <row r="909" spans="1:3" x14ac:dyDescent="0.2">
      <c r="A909" s="3"/>
      <c r="B909" s="3"/>
      <c r="C909" s="3"/>
    </row>
    <row r="910" spans="1:3" x14ac:dyDescent="0.2">
      <c r="A910" s="3"/>
      <c r="B910" s="3"/>
      <c r="C910" s="3"/>
    </row>
    <row r="911" spans="1:3" x14ac:dyDescent="0.2">
      <c r="A911" s="3"/>
      <c r="B911" s="3"/>
      <c r="C911" s="3"/>
    </row>
    <row r="912" spans="1:3" x14ac:dyDescent="0.2">
      <c r="A912" s="3"/>
      <c r="B912" s="3"/>
      <c r="C912" s="3"/>
    </row>
    <row r="913" spans="1:3" x14ac:dyDescent="0.2">
      <c r="A913" s="3"/>
      <c r="B913" s="3"/>
      <c r="C913" s="3"/>
    </row>
    <row r="914" spans="1:3" x14ac:dyDescent="0.2">
      <c r="A914" s="3"/>
      <c r="B914" s="3"/>
      <c r="C914" s="3"/>
    </row>
    <row r="915" spans="1:3" x14ac:dyDescent="0.2">
      <c r="A915" s="3"/>
      <c r="B915" s="3"/>
      <c r="C915" s="3"/>
    </row>
    <row r="916" spans="1:3" x14ac:dyDescent="0.2">
      <c r="A916" s="3"/>
      <c r="B916" s="3"/>
      <c r="C916" s="3"/>
    </row>
    <row r="917" spans="1:3" x14ac:dyDescent="0.2">
      <c r="A917" s="3"/>
      <c r="B917" s="3"/>
      <c r="C917" s="3"/>
    </row>
    <row r="918" spans="1:3" x14ac:dyDescent="0.2">
      <c r="A918" s="3"/>
      <c r="B918" s="3"/>
      <c r="C918" s="3"/>
    </row>
    <row r="919" spans="1:3" x14ac:dyDescent="0.2">
      <c r="A919" s="3"/>
      <c r="B919" s="3"/>
      <c r="C919" s="3"/>
    </row>
    <row r="920" spans="1:3" x14ac:dyDescent="0.2">
      <c r="A920" s="3"/>
      <c r="B920" s="3"/>
      <c r="C920" s="3"/>
    </row>
    <row r="921" spans="1:3" x14ac:dyDescent="0.2">
      <c r="A921" s="3"/>
      <c r="B921" s="3"/>
      <c r="C921" s="3"/>
    </row>
    <row r="922" spans="1:3" x14ac:dyDescent="0.2">
      <c r="A922" s="3"/>
      <c r="B922" s="3"/>
      <c r="C922" s="3"/>
    </row>
    <row r="923" spans="1:3" x14ac:dyDescent="0.2">
      <c r="A923" s="3"/>
      <c r="B923" s="3"/>
      <c r="C923" s="3"/>
    </row>
    <row r="924" spans="1:3" x14ac:dyDescent="0.2">
      <c r="A924" s="3"/>
      <c r="B924" s="3"/>
      <c r="C924" s="3"/>
    </row>
    <row r="925" spans="1:3" x14ac:dyDescent="0.2">
      <c r="A925" s="3"/>
      <c r="B925" s="3"/>
      <c r="C925" s="3"/>
    </row>
    <row r="926" spans="1:3" x14ac:dyDescent="0.2">
      <c r="A926" s="3"/>
      <c r="B926" s="3"/>
      <c r="C926" s="3"/>
    </row>
    <row r="927" spans="1:3" x14ac:dyDescent="0.2">
      <c r="A927" s="3"/>
      <c r="B927" s="3"/>
      <c r="C927" s="3"/>
    </row>
    <row r="928" spans="1:3" x14ac:dyDescent="0.2">
      <c r="A928" s="3"/>
      <c r="B928" s="3"/>
      <c r="C928" s="3"/>
    </row>
    <row r="929" spans="1:3" x14ac:dyDescent="0.2">
      <c r="A929" s="3"/>
      <c r="B929" s="3"/>
      <c r="C929" s="3"/>
    </row>
    <row r="930" spans="1:3" x14ac:dyDescent="0.2">
      <c r="A930" s="3"/>
      <c r="B930" s="3"/>
      <c r="C930" s="3"/>
    </row>
    <row r="931" spans="1:3" x14ac:dyDescent="0.2">
      <c r="A931" s="3"/>
      <c r="B931" s="3"/>
      <c r="C931" s="3"/>
    </row>
    <row r="932" spans="1:3" x14ac:dyDescent="0.2">
      <c r="A932" s="3"/>
      <c r="B932" s="3"/>
      <c r="C932" s="3"/>
    </row>
    <row r="933" spans="1:3" x14ac:dyDescent="0.2">
      <c r="A933" s="3"/>
      <c r="B933" s="3"/>
      <c r="C933" s="3"/>
    </row>
    <row r="934" spans="1:3" x14ac:dyDescent="0.2">
      <c r="A934" s="3"/>
      <c r="B934" s="3"/>
      <c r="C934" s="3"/>
    </row>
    <row r="935" spans="1:3" x14ac:dyDescent="0.2">
      <c r="A935" s="3"/>
      <c r="B935" s="3"/>
      <c r="C935" s="3"/>
    </row>
    <row r="936" spans="1:3" x14ac:dyDescent="0.2">
      <c r="A936" s="3"/>
      <c r="B936" s="3"/>
      <c r="C936" s="3"/>
    </row>
    <row r="937" spans="1:3" x14ac:dyDescent="0.2">
      <c r="A937" s="3"/>
      <c r="B937" s="3"/>
      <c r="C937" s="3"/>
    </row>
    <row r="938" spans="1:3" x14ac:dyDescent="0.2">
      <c r="A938" s="3"/>
      <c r="B938" s="3"/>
      <c r="C938" s="3"/>
    </row>
    <row r="939" spans="1:3" x14ac:dyDescent="0.2">
      <c r="A939" s="3"/>
      <c r="B939" s="3"/>
      <c r="C939" s="3"/>
    </row>
    <row r="940" spans="1:3" x14ac:dyDescent="0.2">
      <c r="A940" s="3"/>
      <c r="B940" s="3"/>
      <c r="C940" s="3"/>
    </row>
    <row r="941" spans="1:3" x14ac:dyDescent="0.2">
      <c r="A941" s="3"/>
      <c r="B941" s="3"/>
      <c r="C941" s="3"/>
    </row>
    <row r="942" spans="1:3" x14ac:dyDescent="0.2">
      <c r="A942" s="3"/>
      <c r="B942" s="3"/>
      <c r="C942" s="3"/>
    </row>
    <row r="943" spans="1:3" x14ac:dyDescent="0.2">
      <c r="A943" s="3"/>
      <c r="B943" s="3"/>
      <c r="C943" s="3"/>
    </row>
    <row r="944" spans="1:3" x14ac:dyDescent="0.2">
      <c r="A944" s="3"/>
      <c r="B944" s="3"/>
      <c r="C944" s="3"/>
    </row>
    <row r="945" spans="1:3" x14ac:dyDescent="0.2">
      <c r="A945" s="3"/>
      <c r="B945" s="3"/>
      <c r="C945" s="3"/>
    </row>
    <row r="946" spans="1:3" x14ac:dyDescent="0.2">
      <c r="A946" s="3"/>
      <c r="B946" s="3"/>
      <c r="C946" s="3"/>
    </row>
    <row r="947" spans="1:3" x14ac:dyDescent="0.2">
      <c r="A947" s="3"/>
      <c r="B947" s="3"/>
      <c r="C947" s="3"/>
    </row>
    <row r="948" spans="1:3" x14ac:dyDescent="0.2">
      <c r="A948" s="3"/>
      <c r="B948" s="3"/>
      <c r="C948" s="3"/>
    </row>
    <row r="949" spans="1:3" x14ac:dyDescent="0.2">
      <c r="A949" s="3"/>
      <c r="B949" s="3"/>
      <c r="C949" s="3"/>
    </row>
    <row r="950" spans="1:3" x14ac:dyDescent="0.2">
      <c r="A950" s="3"/>
      <c r="B950" s="3"/>
      <c r="C950" s="3"/>
    </row>
    <row r="951" spans="1:3" x14ac:dyDescent="0.2">
      <c r="A951" s="3"/>
      <c r="B951" s="3"/>
      <c r="C951" s="3"/>
    </row>
    <row r="952" spans="1:3" x14ac:dyDescent="0.2">
      <c r="A952" s="3"/>
      <c r="B952" s="3"/>
      <c r="C952" s="3"/>
    </row>
    <row r="953" spans="1:3" x14ac:dyDescent="0.2">
      <c r="A953" s="3"/>
      <c r="B953" s="3"/>
      <c r="C953" s="3"/>
    </row>
    <row r="954" spans="1:3" x14ac:dyDescent="0.2">
      <c r="A954" s="3"/>
      <c r="B954" s="3"/>
      <c r="C954" s="3"/>
    </row>
    <row r="955" spans="1:3" x14ac:dyDescent="0.2">
      <c r="A955" s="3"/>
      <c r="B955" s="3"/>
      <c r="C955" s="3"/>
    </row>
    <row r="956" spans="1:3" x14ac:dyDescent="0.2">
      <c r="A956" s="3"/>
      <c r="B956" s="3"/>
      <c r="C956" s="3"/>
    </row>
    <row r="957" spans="1:3" x14ac:dyDescent="0.2">
      <c r="A957" s="3"/>
      <c r="B957" s="3"/>
      <c r="C957" s="3"/>
    </row>
    <row r="958" spans="1:3" x14ac:dyDescent="0.2">
      <c r="A958" s="3"/>
      <c r="B958" s="3"/>
      <c r="C958" s="3"/>
    </row>
    <row r="959" spans="1:3" x14ac:dyDescent="0.2">
      <c r="A959" s="3"/>
      <c r="B959" s="3"/>
      <c r="C959" s="3"/>
    </row>
    <row r="960" spans="1:3" x14ac:dyDescent="0.2">
      <c r="A960" s="3"/>
      <c r="B960" s="3"/>
      <c r="C960" s="3"/>
    </row>
    <row r="961" spans="1:3" x14ac:dyDescent="0.2">
      <c r="A961" s="3"/>
      <c r="B961" s="3"/>
      <c r="C961" s="3"/>
    </row>
    <row r="962" spans="1:3" x14ac:dyDescent="0.2">
      <c r="A962" s="3"/>
      <c r="B962" s="3"/>
      <c r="C962" s="3"/>
    </row>
    <row r="963" spans="1:3" x14ac:dyDescent="0.2">
      <c r="A963" s="3"/>
      <c r="B963" s="3"/>
      <c r="C963" s="3"/>
    </row>
    <row r="964" spans="1:3" x14ac:dyDescent="0.2">
      <c r="A964" s="3"/>
      <c r="B964" s="3"/>
      <c r="C964" s="3"/>
    </row>
    <row r="965" spans="1:3" x14ac:dyDescent="0.2">
      <c r="A965" s="3"/>
      <c r="B965" s="3"/>
      <c r="C965" s="3"/>
    </row>
    <row r="966" spans="1:3" x14ac:dyDescent="0.2">
      <c r="A966" s="3"/>
      <c r="B966" s="3"/>
      <c r="C966" s="3"/>
    </row>
    <row r="967" spans="1:3" x14ac:dyDescent="0.2">
      <c r="A967" s="3"/>
      <c r="B967" s="3"/>
      <c r="C967" s="3"/>
    </row>
    <row r="968" spans="1:3" x14ac:dyDescent="0.2">
      <c r="A968" s="3"/>
      <c r="B968" s="3"/>
      <c r="C968" s="3"/>
    </row>
    <row r="969" spans="1:3" x14ac:dyDescent="0.2">
      <c r="A969" s="3"/>
      <c r="B969" s="3"/>
      <c r="C969" s="3"/>
    </row>
    <row r="970" spans="1:3" x14ac:dyDescent="0.2">
      <c r="A970" s="3"/>
      <c r="B970" s="3"/>
      <c r="C970" s="3"/>
    </row>
    <row r="971" spans="1:3" x14ac:dyDescent="0.2">
      <c r="A971" s="3"/>
      <c r="B971" s="3"/>
      <c r="C971" s="3"/>
    </row>
    <row r="972" spans="1:3" x14ac:dyDescent="0.2">
      <c r="A972" s="3"/>
      <c r="B972" s="3"/>
      <c r="C972" s="3"/>
    </row>
    <row r="973" spans="1:3" x14ac:dyDescent="0.2">
      <c r="A973" s="3"/>
      <c r="B973" s="3"/>
      <c r="C973" s="3"/>
    </row>
    <row r="974" spans="1:3" x14ac:dyDescent="0.2">
      <c r="A974" s="3"/>
      <c r="B974" s="3"/>
      <c r="C974" s="3"/>
    </row>
    <row r="975" spans="1:3" x14ac:dyDescent="0.2">
      <c r="A975" s="3"/>
      <c r="B975" s="3"/>
      <c r="C975" s="3"/>
    </row>
    <row r="976" spans="1:3" x14ac:dyDescent="0.2">
      <c r="A976" s="3"/>
      <c r="B976" s="3"/>
      <c r="C976" s="3"/>
    </row>
    <row r="977" spans="1:3" x14ac:dyDescent="0.2">
      <c r="A977" s="3"/>
      <c r="B977" s="3"/>
      <c r="C977" s="3"/>
    </row>
    <row r="978" spans="1:3" x14ac:dyDescent="0.2">
      <c r="A978" s="3"/>
      <c r="B978" s="3"/>
      <c r="C978" s="3"/>
    </row>
    <row r="979" spans="1:3" x14ac:dyDescent="0.2">
      <c r="A979" s="3"/>
      <c r="B979" s="3"/>
      <c r="C979" s="3"/>
    </row>
    <row r="980" spans="1:3" x14ac:dyDescent="0.2">
      <c r="A980" s="3"/>
      <c r="B980" s="3"/>
      <c r="C980" s="3"/>
    </row>
    <row r="981" spans="1:3" x14ac:dyDescent="0.2">
      <c r="A981" s="3"/>
      <c r="B981" s="3"/>
      <c r="C981" s="3"/>
    </row>
    <row r="982" spans="1:3" x14ac:dyDescent="0.2">
      <c r="A982" s="3"/>
      <c r="B982" s="3"/>
      <c r="C982" s="3"/>
    </row>
    <row r="983" spans="1:3" x14ac:dyDescent="0.2">
      <c r="A983" s="3"/>
      <c r="B983" s="3"/>
      <c r="C983" s="3"/>
    </row>
    <row r="984" spans="1:3" x14ac:dyDescent="0.2">
      <c r="A984" s="3"/>
      <c r="B984" s="3"/>
      <c r="C984" s="3"/>
    </row>
    <row r="985" spans="1:3" x14ac:dyDescent="0.2">
      <c r="A985" s="3"/>
      <c r="B985" s="3"/>
      <c r="C985" s="3"/>
    </row>
    <row r="986" spans="1:3" x14ac:dyDescent="0.2">
      <c r="A986" s="3"/>
      <c r="B986" s="3"/>
      <c r="C986" s="3"/>
    </row>
    <row r="987" spans="1:3" x14ac:dyDescent="0.2">
      <c r="A987" s="3"/>
      <c r="B987" s="3"/>
      <c r="C987" s="3"/>
    </row>
    <row r="988" spans="1:3" x14ac:dyDescent="0.2">
      <c r="A988" s="3"/>
      <c r="B988" s="3"/>
      <c r="C988" s="3"/>
    </row>
    <row r="989" spans="1:3" x14ac:dyDescent="0.2">
      <c r="A989" s="3"/>
      <c r="B989" s="3"/>
      <c r="C989" s="3"/>
    </row>
    <row r="990" spans="1:3" x14ac:dyDescent="0.2">
      <c r="A990" s="3"/>
      <c r="B990" s="3"/>
      <c r="C990" s="3"/>
    </row>
    <row r="991" spans="1:3" x14ac:dyDescent="0.2">
      <c r="A991" s="3"/>
      <c r="B991" s="3"/>
      <c r="C991" s="3"/>
    </row>
    <row r="992" spans="1:3" x14ac:dyDescent="0.2">
      <c r="A992" s="3"/>
      <c r="B992" s="3"/>
      <c r="C992" s="3"/>
    </row>
    <row r="993" spans="1:3" x14ac:dyDescent="0.2">
      <c r="A993" s="3"/>
      <c r="B993" s="3"/>
      <c r="C993" s="3"/>
    </row>
    <row r="994" spans="1:3" x14ac:dyDescent="0.2">
      <c r="A994" s="3"/>
      <c r="B994" s="3"/>
      <c r="C994" s="3"/>
    </row>
    <row r="995" spans="1:3" x14ac:dyDescent="0.2">
      <c r="A995" s="3"/>
      <c r="B995" s="3"/>
      <c r="C995" s="3"/>
    </row>
    <row r="996" spans="1:3" x14ac:dyDescent="0.2">
      <c r="A996" s="3"/>
      <c r="B996" s="3"/>
      <c r="C996" s="3"/>
    </row>
    <row r="997" spans="1:3" x14ac:dyDescent="0.2">
      <c r="A997" s="3"/>
      <c r="B997" s="3"/>
      <c r="C997" s="3"/>
    </row>
    <row r="998" spans="1:3" x14ac:dyDescent="0.2">
      <c r="A998" s="3"/>
      <c r="B998" s="3"/>
      <c r="C998" s="3"/>
    </row>
    <row r="999" spans="1:3" x14ac:dyDescent="0.2">
      <c r="A999" s="3"/>
      <c r="B999" s="3"/>
      <c r="C999" s="3"/>
    </row>
    <row r="1000" spans="1:3" x14ac:dyDescent="0.2">
      <c r="A1000" s="3"/>
      <c r="B1000" s="3"/>
      <c r="C1000" s="3"/>
    </row>
    <row r="1001" spans="1:3" x14ac:dyDescent="0.2">
      <c r="A1001" s="3"/>
      <c r="B1001" s="3"/>
      <c r="C1001" s="3"/>
    </row>
    <row r="1002" spans="1:3" x14ac:dyDescent="0.2">
      <c r="A1002" s="3"/>
      <c r="B1002" s="3"/>
      <c r="C1002" s="3"/>
    </row>
    <row r="1003" spans="1:3" x14ac:dyDescent="0.2">
      <c r="A1003" s="3"/>
      <c r="B1003" s="3"/>
      <c r="C1003" s="3"/>
    </row>
    <row r="1004" spans="1:3" x14ac:dyDescent="0.2">
      <c r="A1004" s="3"/>
      <c r="B1004" s="3"/>
      <c r="C1004" s="3"/>
    </row>
    <row r="1005" spans="1:3" x14ac:dyDescent="0.2">
      <c r="A1005" s="3"/>
      <c r="B1005" s="3"/>
      <c r="C1005" s="3"/>
    </row>
    <row r="1006" spans="1:3" x14ac:dyDescent="0.2">
      <c r="A1006" s="3"/>
      <c r="B1006" s="3"/>
      <c r="C1006" s="3"/>
    </row>
    <row r="1007" spans="1:3" x14ac:dyDescent="0.2">
      <c r="A1007" s="3"/>
      <c r="B1007" s="3"/>
      <c r="C1007" s="3"/>
    </row>
    <row r="1008" spans="1:3" x14ac:dyDescent="0.2">
      <c r="A1008" s="3"/>
      <c r="B1008" s="3"/>
      <c r="C1008" s="3"/>
    </row>
    <row r="1009" spans="1:3" x14ac:dyDescent="0.2">
      <c r="A1009" s="3"/>
      <c r="B1009" s="3"/>
      <c r="C1009" s="3"/>
    </row>
    <row r="1010" spans="1:3" x14ac:dyDescent="0.2">
      <c r="A1010" s="3"/>
      <c r="B1010" s="3"/>
      <c r="C1010" s="3"/>
    </row>
    <row r="1011" spans="1:3" x14ac:dyDescent="0.2">
      <c r="A1011" s="3"/>
      <c r="B1011" s="3"/>
      <c r="C1011" s="3"/>
    </row>
    <row r="1012" spans="1:3" x14ac:dyDescent="0.2">
      <c r="A1012" s="3"/>
      <c r="B1012" s="3"/>
      <c r="C1012" s="3"/>
    </row>
    <row r="1013" spans="1:3" x14ac:dyDescent="0.2">
      <c r="A1013" s="3"/>
      <c r="B1013" s="3"/>
      <c r="C1013" s="3"/>
    </row>
    <row r="1014" spans="1:3" x14ac:dyDescent="0.2">
      <c r="A1014" s="3"/>
      <c r="B1014" s="3"/>
      <c r="C1014" s="3"/>
    </row>
    <row r="1015" spans="1:3" x14ac:dyDescent="0.2">
      <c r="A1015" s="3"/>
      <c r="B1015" s="3"/>
      <c r="C1015" s="3"/>
    </row>
    <row r="1016" spans="1:3" x14ac:dyDescent="0.2">
      <c r="A1016" s="3"/>
      <c r="B1016" s="3"/>
      <c r="C1016" s="3"/>
    </row>
    <row r="1017" spans="1:3" x14ac:dyDescent="0.2">
      <c r="A1017" s="3"/>
      <c r="B1017" s="3"/>
      <c r="C1017" s="3"/>
    </row>
    <row r="1018" spans="1:3" x14ac:dyDescent="0.2">
      <c r="A1018" s="3"/>
      <c r="B1018" s="3"/>
      <c r="C1018" s="3"/>
    </row>
    <row r="1019" spans="1:3" x14ac:dyDescent="0.2">
      <c r="A1019" s="3"/>
      <c r="B1019" s="3"/>
      <c r="C1019" s="3"/>
    </row>
    <row r="1020" spans="1:3" x14ac:dyDescent="0.2">
      <c r="A1020" s="3"/>
      <c r="B1020" s="3"/>
      <c r="C1020" s="3"/>
    </row>
    <row r="1021" spans="1:3" x14ac:dyDescent="0.2">
      <c r="A1021" s="3"/>
      <c r="B1021" s="3"/>
      <c r="C1021" s="3"/>
    </row>
    <row r="1022" spans="1:3" x14ac:dyDescent="0.2">
      <c r="A1022" s="3"/>
      <c r="B1022" s="3"/>
      <c r="C1022" s="3"/>
    </row>
    <row r="1023" spans="1:3" x14ac:dyDescent="0.2">
      <c r="A1023" s="3"/>
      <c r="B1023" s="3"/>
      <c r="C1023" s="3"/>
    </row>
    <row r="1024" spans="1:3" x14ac:dyDescent="0.2">
      <c r="A1024" s="3"/>
      <c r="B1024" s="3"/>
      <c r="C1024" s="3"/>
    </row>
    <row r="1025" spans="1:3" x14ac:dyDescent="0.2">
      <c r="A1025" s="3"/>
      <c r="B1025" s="3"/>
      <c r="C1025" s="3"/>
    </row>
    <row r="1026" spans="1:3" x14ac:dyDescent="0.2">
      <c r="A1026" s="3"/>
      <c r="B1026" s="3"/>
      <c r="C1026" s="3"/>
    </row>
    <row r="1027" spans="1:3" x14ac:dyDescent="0.2">
      <c r="A1027" s="3"/>
      <c r="B1027" s="3"/>
      <c r="C1027" s="3"/>
    </row>
    <row r="1028" spans="1:3" x14ac:dyDescent="0.2">
      <c r="A1028" s="3"/>
      <c r="B1028" s="3"/>
      <c r="C1028" s="3"/>
    </row>
    <row r="1029" spans="1:3" x14ac:dyDescent="0.2">
      <c r="A1029" s="3"/>
      <c r="B1029" s="3"/>
      <c r="C1029" s="3"/>
    </row>
    <row r="1030" spans="1:3" x14ac:dyDescent="0.2">
      <c r="A1030" s="3"/>
      <c r="B1030" s="3"/>
      <c r="C1030" s="3"/>
    </row>
    <row r="1031" spans="1:3" x14ac:dyDescent="0.2">
      <c r="A1031" s="3"/>
      <c r="B1031" s="3"/>
      <c r="C1031" s="3"/>
    </row>
    <row r="1032" spans="1:3" x14ac:dyDescent="0.2">
      <c r="A1032" s="3"/>
      <c r="B1032" s="3"/>
      <c r="C1032" s="3"/>
    </row>
    <row r="1033" spans="1:3" x14ac:dyDescent="0.2">
      <c r="A1033" s="3"/>
      <c r="B1033" s="3"/>
      <c r="C1033" s="3"/>
    </row>
    <row r="1034" spans="1:3" x14ac:dyDescent="0.2">
      <c r="A1034" s="3"/>
      <c r="B1034" s="3"/>
      <c r="C1034" s="3"/>
    </row>
    <row r="1035" spans="1:3" x14ac:dyDescent="0.2">
      <c r="A1035" s="3"/>
      <c r="B1035" s="3"/>
      <c r="C1035" s="3"/>
    </row>
    <row r="1036" spans="1:3" x14ac:dyDescent="0.2">
      <c r="A1036" s="3"/>
      <c r="B1036" s="3"/>
      <c r="C1036" s="3"/>
    </row>
    <row r="1037" spans="1:3" x14ac:dyDescent="0.2">
      <c r="A1037" s="3"/>
      <c r="B1037" s="3"/>
      <c r="C1037" s="3"/>
    </row>
    <row r="1038" spans="1:3" x14ac:dyDescent="0.2">
      <c r="A1038" s="3"/>
      <c r="B1038" s="3"/>
      <c r="C1038" s="3"/>
    </row>
    <row r="1039" spans="1:3" x14ac:dyDescent="0.2">
      <c r="A1039" s="3"/>
      <c r="B1039" s="3"/>
      <c r="C1039" s="3"/>
    </row>
    <row r="1040" spans="1:3" x14ac:dyDescent="0.2">
      <c r="A1040" s="3"/>
      <c r="B1040" s="3"/>
      <c r="C1040" s="3"/>
    </row>
    <row r="1041" spans="1:3" x14ac:dyDescent="0.2">
      <c r="A1041" s="3"/>
      <c r="B1041" s="3"/>
      <c r="C1041" s="3"/>
    </row>
    <row r="1042" spans="1:3" x14ac:dyDescent="0.2">
      <c r="A1042" s="3"/>
      <c r="B1042" s="3"/>
      <c r="C1042" s="3"/>
    </row>
    <row r="1043" spans="1:3" x14ac:dyDescent="0.2">
      <c r="A1043" s="3"/>
      <c r="B1043" s="3"/>
      <c r="C1043" s="3"/>
    </row>
    <row r="1044" spans="1:3" x14ac:dyDescent="0.2">
      <c r="A1044" s="3"/>
      <c r="B1044" s="3"/>
      <c r="C1044" s="3"/>
    </row>
    <row r="1045" spans="1:3" x14ac:dyDescent="0.2">
      <c r="A1045" s="3"/>
      <c r="B1045" s="3"/>
      <c r="C1045" s="3"/>
    </row>
    <row r="1046" spans="1:3" x14ac:dyDescent="0.2">
      <c r="A1046" s="3"/>
      <c r="B1046" s="3"/>
      <c r="C1046" s="3"/>
    </row>
    <row r="1047" spans="1:3" x14ac:dyDescent="0.2">
      <c r="A1047" s="3"/>
      <c r="B1047" s="3"/>
      <c r="C1047" s="3"/>
    </row>
    <row r="1048" spans="1:3" x14ac:dyDescent="0.2">
      <c r="A1048" s="3"/>
      <c r="B1048" s="3"/>
      <c r="C1048" s="3"/>
    </row>
    <row r="1049" spans="1:3" x14ac:dyDescent="0.2">
      <c r="A1049" s="3"/>
      <c r="B1049" s="3"/>
      <c r="C1049" s="3"/>
    </row>
    <row r="1050" spans="1:3" x14ac:dyDescent="0.2">
      <c r="A1050" s="3"/>
      <c r="B1050" s="3"/>
      <c r="C1050" s="3"/>
    </row>
    <row r="1051" spans="1:3" x14ac:dyDescent="0.2">
      <c r="A1051" s="3"/>
      <c r="B1051" s="3"/>
      <c r="C1051" s="3"/>
    </row>
    <row r="1052" spans="1:3" x14ac:dyDescent="0.2">
      <c r="A1052" s="3"/>
      <c r="B1052" s="3"/>
      <c r="C1052" s="3"/>
    </row>
    <row r="1053" spans="1:3" x14ac:dyDescent="0.2">
      <c r="A1053" s="3"/>
      <c r="B1053" s="3"/>
      <c r="C1053" s="3"/>
    </row>
    <row r="1054" spans="1:3" x14ac:dyDescent="0.2">
      <c r="A1054" s="3"/>
      <c r="B1054" s="3"/>
      <c r="C1054" s="3"/>
    </row>
    <row r="1055" spans="1:3" x14ac:dyDescent="0.2">
      <c r="A1055" s="3"/>
      <c r="B1055" s="3"/>
      <c r="C1055" s="3"/>
    </row>
    <row r="1056" spans="1:3" x14ac:dyDescent="0.2">
      <c r="A1056" s="3"/>
      <c r="B1056" s="3"/>
      <c r="C1056" s="3"/>
    </row>
    <row r="1057" spans="1:3" x14ac:dyDescent="0.2">
      <c r="A1057" s="3"/>
      <c r="B1057" s="3"/>
      <c r="C1057" s="3"/>
    </row>
    <row r="1058" spans="1:3" x14ac:dyDescent="0.2">
      <c r="A1058" s="3"/>
      <c r="B1058" s="3"/>
      <c r="C1058" s="3"/>
    </row>
    <row r="1059" spans="1:3" x14ac:dyDescent="0.2">
      <c r="A1059" s="3"/>
      <c r="B1059" s="3"/>
      <c r="C1059" s="3"/>
    </row>
    <row r="1060" spans="1:3" x14ac:dyDescent="0.2">
      <c r="A1060" s="3"/>
      <c r="B1060" s="3"/>
      <c r="C1060" s="3"/>
    </row>
    <row r="1061" spans="1:3" x14ac:dyDescent="0.2">
      <c r="A1061" s="3"/>
      <c r="B1061" s="3"/>
      <c r="C1061" s="3"/>
    </row>
    <row r="1062" spans="1:3" x14ac:dyDescent="0.2">
      <c r="A1062" s="3"/>
      <c r="B1062" s="3"/>
      <c r="C1062" s="3"/>
    </row>
    <row r="1063" spans="1:3" x14ac:dyDescent="0.2">
      <c r="A1063" s="3"/>
      <c r="B1063" s="3"/>
      <c r="C1063" s="3"/>
    </row>
    <row r="1064" spans="1:3" x14ac:dyDescent="0.2">
      <c r="A1064" s="3"/>
      <c r="B1064" s="3"/>
      <c r="C1064" s="3"/>
    </row>
    <row r="1065" spans="1:3" x14ac:dyDescent="0.2">
      <c r="A1065" s="3"/>
      <c r="B1065" s="3"/>
      <c r="C1065" s="3"/>
    </row>
    <row r="1066" spans="1:3" x14ac:dyDescent="0.2">
      <c r="A1066" s="3"/>
      <c r="B1066" s="3"/>
      <c r="C1066" s="3"/>
    </row>
    <row r="1067" spans="1:3" x14ac:dyDescent="0.2">
      <c r="A1067" s="3"/>
      <c r="B1067" s="3"/>
      <c r="C1067" s="3"/>
    </row>
    <row r="1068" spans="1:3" x14ac:dyDescent="0.2">
      <c r="A1068" s="3"/>
      <c r="B1068" s="3"/>
      <c r="C1068" s="3"/>
    </row>
    <row r="1069" spans="1:3" x14ac:dyDescent="0.2">
      <c r="A1069" s="3"/>
      <c r="B1069" s="3"/>
      <c r="C1069" s="3"/>
    </row>
    <row r="1070" spans="1:3" x14ac:dyDescent="0.2">
      <c r="A1070" s="3"/>
      <c r="B1070" s="3"/>
      <c r="C1070" s="3"/>
    </row>
    <row r="1071" spans="1:3" x14ac:dyDescent="0.2">
      <c r="A1071" s="3"/>
      <c r="B1071" s="3"/>
      <c r="C1071" s="3"/>
    </row>
    <row r="1072" spans="1:3" x14ac:dyDescent="0.2">
      <c r="A1072" s="3"/>
      <c r="B1072" s="3"/>
      <c r="C1072" s="3"/>
    </row>
    <row r="1073" spans="1:3" x14ac:dyDescent="0.2">
      <c r="A1073" s="3"/>
      <c r="B1073" s="3"/>
      <c r="C1073" s="3"/>
    </row>
    <row r="1074" spans="1:3" x14ac:dyDescent="0.2">
      <c r="A1074" s="3"/>
      <c r="B1074" s="3"/>
      <c r="C1074" s="3"/>
    </row>
    <row r="1075" spans="1:3" x14ac:dyDescent="0.2">
      <c r="A1075" s="3"/>
      <c r="B1075" s="3"/>
      <c r="C1075" s="3"/>
    </row>
    <row r="1076" spans="1:3" x14ac:dyDescent="0.2">
      <c r="A1076" s="3"/>
      <c r="B1076" s="3"/>
      <c r="C1076" s="3"/>
    </row>
    <row r="1077" spans="1:3" x14ac:dyDescent="0.2">
      <c r="A1077" s="3"/>
      <c r="B1077" s="3"/>
      <c r="C1077" s="3"/>
    </row>
    <row r="1078" spans="1:3" x14ac:dyDescent="0.2">
      <c r="A1078" s="3"/>
      <c r="B1078" s="3"/>
      <c r="C1078" s="3"/>
    </row>
    <row r="1079" spans="1:3" x14ac:dyDescent="0.2">
      <c r="A1079" s="3"/>
      <c r="B1079" s="3"/>
      <c r="C1079" s="3"/>
    </row>
    <row r="1080" spans="1:3" x14ac:dyDescent="0.2">
      <c r="A1080" s="3"/>
      <c r="B1080" s="3"/>
      <c r="C1080" s="3"/>
    </row>
    <row r="1081" spans="1:3" x14ac:dyDescent="0.2">
      <c r="A1081" s="3"/>
      <c r="B1081" s="3"/>
      <c r="C1081" s="3"/>
    </row>
    <row r="1082" spans="1:3" x14ac:dyDescent="0.2">
      <c r="A1082" s="3"/>
      <c r="B1082" s="3"/>
      <c r="C1082" s="3"/>
    </row>
    <row r="1083" spans="1:3" x14ac:dyDescent="0.2">
      <c r="A1083" s="3"/>
      <c r="B1083" s="3"/>
      <c r="C1083" s="3"/>
    </row>
    <row r="1084" spans="1:3" x14ac:dyDescent="0.2">
      <c r="A1084" s="3"/>
      <c r="B1084" s="3"/>
      <c r="C1084" s="3"/>
    </row>
    <row r="1085" spans="1:3" x14ac:dyDescent="0.2">
      <c r="A1085" s="3"/>
      <c r="B1085" s="3"/>
      <c r="C1085" s="3"/>
    </row>
    <row r="1086" spans="1:3" x14ac:dyDescent="0.2">
      <c r="A1086" s="3"/>
      <c r="B1086" s="3"/>
      <c r="C1086" s="3"/>
    </row>
    <row r="1087" spans="1:3" x14ac:dyDescent="0.2">
      <c r="A1087" s="3"/>
      <c r="B1087" s="3"/>
      <c r="C1087" s="3"/>
    </row>
    <row r="1088" spans="1:3" x14ac:dyDescent="0.2">
      <c r="A1088" s="3"/>
      <c r="B1088" s="3"/>
      <c r="C1088" s="3"/>
    </row>
    <row r="1089" spans="1:3" x14ac:dyDescent="0.2">
      <c r="A1089" s="3"/>
      <c r="B1089" s="3"/>
      <c r="C1089" s="3"/>
    </row>
    <row r="1090" spans="1:3" x14ac:dyDescent="0.2">
      <c r="A1090" s="3"/>
      <c r="B1090" s="3"/>
      <c r="C1090" s="3"/>
    </row>
    <row r="1091" spans="1:3" x14ac:dyDescent="0.2">
      <c r="A1091" s="3"/>
      <c r="B1091" s="3"/>
      <c r="C1091" s="3"/>
    </row>
    <row r="1092" spans="1:3" x14ac:dyDescent="0.2">
      <c r="A1092" s="3"/>
      <c r="B1092" s="3"/>
      <c r="C1092" s="3"/>
    </row>
    <row r="1093" spans="1:3" x14ac:dyDescent="0.2">
      <c r="A1093" s="3"/>
      <c r="B1093" s="3"/>
      <c r="C1093" s="3"/>
    </row>
    <row r="1094" spans="1:3" x14ac:dyDescent="0.2">
      <c r="A1094" s="3"/>
      <c r="B1094" s="3"/>
      <c r="C1094" s="3"/>
    </row>
    <row r="1095" spans="1:3" x14ac:dyDescent="0.2">
      <c r="A1095" s="3"/>
      <c r="B1095" s="3"/>
      <c r="C1095" s="3"/>
    </row>
    <row r="1096" spans="1:3" x14ac:dyDescent="0.2">
      <c r="A1096" s="3"/>
      <c r="B1096" s="3"/>
      <c r="C1096" s="3"/>
    </row>
    <row r="1097" spans="1:3" x14ac:dyDescent="0.2">
      <c r="A1097" s="3"/>
      <c r="B1097" s="3"/>
      <c r="C1097" s="3"/>
    </row>
    <row r="1098" spans="1:3" x14ac:dyDescent="0.2">
      <c r="A1098" s="3"/>
      <c r="B1098" s="3"/>
      <c r="C1098" s="3"/>
    </row>
    <row r="1099" spans="1:3" x14ac:dyDescent="0.2">
      <c r="A1099" s="3"/>
      <c r="B1099" s="3"/>
      <c r="C1099" s="3"/>
    </row>
    <row r="1100" spans="1:3" x14ac:dyDescent="0.2">
      <c r="A1100" s="3"/>
      <c r="B1100" s="3"/>
      <c r="C1100" s="3"/>
    </row>
    <row r="1101" spans="1:3" x14ac:dyDescent="0.2">
      <c r="A1101" s="3"/>
      <c r="B1101" s="3"/>
      <c r="C1101" s="3"/>
    </row>
    <row r="1102" spans="1:3" x14ac:dyDescent="0.2">
      <c r="A1102" s="3"/>
      <c r="B1102" s="3"/>
      <c r="C1102" s="3"/>
    </row>
    <row r="1103" spans="1:3" x14ac:dyDescent="0.2">
      <c r="A1103" s="3"/>
      <c r="B1103" s="3"/>
      <c r="C1103" s="3"/>
    </row>
    <row r="1104" spans="1:3" x14ac:dyDescent="0.2">
      <c r="A1104" s="3"/>
      <c r="B1104" s="3"/>
      <c r="C1104" s="3"/>
    </row>
    <row r="1105" spans="1:3" x14ac:dyDescent="0.2">
      <c r="A1105" s="3"/>
      <c r="B1105" s="3"/>
      <c r="C1105" s="3"/>
    </row>
    <row r="1106" spans="1:3" x14ac:dyDescent="0.2">
      <c r="A1106" s="3"/>
      <c r="B1106" s="3"/>
      <c r="C1106" s="3"/>
    </row>
    <row r="1107" spans="1:3" x14ac:dyDescent="0.2">
      <c r="A1107" s="3"/>
      <c r="B1107" s="3"/>
      <c r="C1107" s="3"/>
    </row>
    <row r="1108" spans="1:3" x14ac:dyDescent="0.2">
      <c r="A1108" s="3"/>
      <c r="B1108" s="3"/>
      <c r="C1108" s="3"/>
    </row>
    <row r="1109" spans="1:3" x14ac:dyDescent="0.2">
      <c r="A1109" s="3"/>
      <c r="B1109" s="3"/>
      <c r="C1109" s="3"/>
    </row>
    <row r="1110" spans="1:3" x14ac:dyDescent="0.2">
      <c r="A1110" s="3"/>
      <c r="B1110" s="3"/>
      <c r="C1110" s="3"/>
    </row>
    <row r="1111" spans="1:3" x14ac:dyDescent="0.2">
      <c r="A1111" s="3"/>
      <c r="B1111" s="3"/>
      <c r="C1111" s="3"/>
    </row>
    <row r="1112" spans="1:3" x14ac:dyDescent="0.2">
      <c r="A1112" s="3"/>
      <c r="B1112" s="3"/>
      <c r="C1112" s="3"/>
    </row>
    <row r="1113" spans="1:3" x14ac:dyDescent="0.2">
      <c r="A1113" s="3"/>
      <c r="B1113" s="3"/>
      <c r="C1113" s="3"/>
    </row>
    <row r="1114" spans="1:3" x14ac:dyDescent="0.2">
      <c r="A1114" s="3"/>
      <c r="B1114" s="3"/>
      <c r="C1114" s="3"/>
    </row>
    <row r="1115" spans="1:3" x14ac:dyDescent="0.2">
      <c r="A1115" s="3"/>
      <c r="B1115" s="3"/>
      <c r="C1115" s="3"/>
    </row>
    <row r="1116" spans="1:3" x14ac:dyDescent="0.2">
      <c r="A1116" s="3"/>
      <c r="B1116" s="3"/>
      <c r="C1116" s="3"/>
    </row>
    <row r="1117" spans="1:3" x14ac:dyDescent="0.2">
      <c r="A1117" s="3"/>
      <c r="B1117" s="3"/>
      <c r="C1117" s="3"/>
    </row>
    <row r="1118" spans="1:3" x14ac:dyDescent="0.2">
      <c r="A1118" s="3"/>
      <c r="B1118" s="3"/>
      <c r="C1118" s="3"/>
    </row>
    <row r="1119" spans="1:3" x14ac:dyDescent="0.2">
      <c r="A1119" s="3"/>
      <c r="B1119" s="3"/>
      <c r="C1119" s="3"/>
    </row>
    <row r="1120" spans="1:3" x14ac:dyDescent="0.2">
      <c r="A1120" s="3"/>
      <c r="B1120" s="3"/>
      <c r="C1120" s="3"/>
    </row>
    <row r="1121" spans="1:3" x14ac:dyDescent="0.2">
      <c r="A1121" s="3"/>
      <c r="B1121" s="3"/>
      <c r="C1121" s="3"/>
    </row>
    <row r="1122" spans="1:3" x14ac:dyDescent="0.2">
      <c r="A1122" s="3"/>
      <c r="B1122" s="3"/>
      <c r="C1122" s="3"/>
    </row>
    <row r="1123" spans="1:3" x14ac:dyDescent="0.2">
      <c r="A1123" s="3"/>
      <c r="B1123" s="3"/>
      <c r="C1123" s="3"/>
    </row>
    <row r="1124" spans="1:3" x14ac:dyDescent="0.2">
      <c r="A1124" s="3"/>
      <c r="B1124" s="3"/>
      <c r="C1124" s="3"/>
    </row>
    <row r="1125" spans="1:3" x14ac:dyDescent="0.2">
      <c r="A1125" s="3"/>
      <c r="B1125" s="3"/>
      <c r="C1125" s="3"/>
    </row>
    <row r="1126" spans="1:3" x14ac:dyDescent="0.2">
      <c r="A1126" s="3"/>
      <c r="B1126" s="3"/>
      <c r="C1126" s="3"/>
    </row>
    <row r="1127" spans="1:3" x14ac:dyDescent="0.2">
      <c r="A1127" s="3"/>
      <c r="B1127" s="3"/>
      <c r="C1127" s="3"/>
    </row>
    <row r="1128" spans="1:3" x14ac:dyDescent="0.2">
      <c r="A1128" s="3"/>
      <c r="B1128" s="3"/>
      <c r="C1128" s="3"/>
    </row>
    <row r="1129" spans="1:3" x14ac:dyDescent="0.2">
      <c r="A1129" s="3"/>
      <c r="B1129" s="3"/>
      <c r="C1129" s="3"/>
    </row>
    <row r="1130" spans="1:3" x14ac:dyDescent="0.2">
      <c r="A1130" s="3"/>
      <c r="B1130" s="3"/>
      <c r="C1130" s="3"/>
    </row>
    <row r="1131" spans="1:3" x14ac:dyDescent="0.2">
      <c r="A1131" s="3"/>
      <c r="B1131" s="3"/>
      <c r="C1131" s="3"/>
    </row>
    <row r="1132" spans="1:3" x14ac:dyDescent="0.2">
      <c r="A1132" s="3"/>
      <c r="B1132" s="3"/>
      <c r="C1132" s="3"/>
    </row>
    <row r="1133" spans="1:3" x14ac:dyDescent="0.2">
      <c r="A1133" s="3"/>
      <c r="B1133" s="3"/>
      <c r="C1133" s="3"/>
    </row>
    <row r="1134" spans="1:3" x14ac:dyDescent="0.2">
      <c r="A1134" s="3"/>
      <c r="B1134" s="3"/>
      <c r="C1134" s="3"/>
    </row>
    <row r="1135" spans="1:3" x14ac:dyDescent="0.2">
      <c r="A1135" s="3"/>
      <c r="B1135" s="3"/>
      <c r="C1135" s="3"/>
    </row>
    <row r="1136" spans="1:3" x14ac:dyDescent="0.2">
      <c r="A1136" s="3"/>
      <c r="B1136" s="3"/>
      <c r="C1136" s="3"/>
    </row>
    <row r="1137" spans="1:3" x14ac:dyDescent="0.2">
      <c r="A1137" s="3"/>
      <c r="B1137" s="3"/>
      <c r="C1137" s="3"/>
    </row>
    <row r="1138" spans="1:3" x14ac:dyDescent="0.2">
      <c r="A1138" s="3"/>
      <c r="B1138" s="3"/>
      <c r="C1138" s="3"/>
    </row>
    <row r="1139" spans="1:3" x14ac:dyDescent="0.2">
      <c r="A1139" s="3"/>
      <c r="B1139" s="3"/>
      <c r="C1139" s="3"/>
    </row>
    <row r="1140" spans="1:3" x14ac:dyDescent="0.2">
      <c r="A1140" s="3"/>
      <c r="B1140" s="3"/>
      <c r="C1140" s="3"/>
    </row>
    <row r="1141" spans="1:3" x14ac:dyDescent="0.2">
      <c r="A1141" s="3"/>
      <c r="B1141" s="3"/>
      <c r="C1141" s="3"/>
    </row>
    <row r="1142" spans="1:3" x14ac:dyDescent="0.2">
      <c r="A1142" s="3"/>
      <c r="B1142" s="3"/>
      <c r="C1142" s="3"/>
    </row>
    <row r="1143" spans="1:3" x14ac:dyDescent="0.2">
      <c r="A1143" s="3"/>
      <c r="B1143" s="3"/>
      <c r="C1143" s="3"/>
    </row>
    <row r="1144" spans="1:3" x14ac:dyDescent="0.2">
      <c r="A1144" s="3"/>
      <c r="B1144" s="3"/>
      <c r="C1144" s="3"/>
    </row>
    <row r="1145" spans="1:3" x14ac:dyDescent="0.2">
      <c r="A1145" s="3"/>
      <c r="B1145" s="3"/>
      <c r="C1145" s="3"/>
    </row>
    <row r="1146" spans="1:3" x14ac:dyDescent="0.2">
      <c r="A1146" s="3"/>
      <c r="B1146" s="3"/>
      <c r="C1146" s="3"/>
    </row>
    <row r="1147" spans="1:3" x14ac:dyDescent="0.2">
      <c r="A1147" s="3"/>
      <c r="B1147" s="3"/>
      <c r="C1147" s="3"/>
    </row>
    <row r="1148" spans="1:3" x14ac:dyDescent="0.2">
      <c r="A1148" s="3"/>
      <c r="B1148" s="3"/>
      <c r="C1148" s="3"/>
    </row>
    <row r="1149" spans="1:3" x14ac:dyDescent="0.2">
      <c r="A1149" s="3"/>
      <c r="B1149" s="3"/>
      <c r="C1149" s="3"/>
    </row>
    <row r="1150" spans="1:3" x14ac:dyDescent="0.2">
      <c r="A1150" s="3"/>
      <c r="B1150" s="3"/>
      <c r="C1150" s="3"/>
    </row>
    <row r="1151" spans="1:3" x14ac:dyDescent="0.2">
      <c r="A1151" s="3"/>
      <c r="B1151" s="3"/>
      <c r="C1151" s="3"/>
    </row>
    <row r="1152" spans="1:3" x14ac:dyDescent="0.2">
      <c r="A1152" s="3"/>
      <c r="B1152" s="3"/>
      <c r="C1152" s="3"/>
    </row>
    <row r="1153" spans="1:3" x14ac:dyDescent="0.2">
      <c r="A1153" s="3"/>
      <c r="B1153" s="3"/>
      <c r="C1153" s="3"/>
    </row>
    <row r="1154" spans="1:3" x14ac:dyDescent="0.2">
      <c r="A1154" s="3"/>
      <c r="B1154" s="3"/>
      <c r="C1154" s="3"/>
    </row>
    <row r="1155" spans="1:3" x14ac:dyDescent="0.2">
      <c r="A1155" s="3"/>
      <c r="B1155" s="3"/>
      <c r="C1155" s="3"/>
    </row>
    <row r="1156" spans="1:3" x14ac:dyDescent="0.2">
      <c r="A1156" s="3"/>
      <c r="B1156" s="3"/>
      <c r="C1156" s="3"/>
    </row>
    <row r="1157" spans="1:3" x14ac:dyDescent="0.2">
      <c r="A1157" s="3"/>
      <c r="B1157" s="3"/>
      <c r="C1157" s="3"/>
    </row>
    <row r="1158" spans="1:3" x14ac:dyDescent="0.2">
      <c r="A1158" s="3"/>
      <c r="B1158" s="3"/>
      <c r="C1158" s="3"/>
    </row>
    <row r="1159" spans="1:3" x14ac:dyDescent="0.2">
      <c r="A1159" s="3"/>
      <c r="B1159" s="3"/>
      <c r="C1159" s="3"/>
    </row>
    <row r="1160" spans="1:3" x14ac:dyDescent="0.2">
      <c r="A1160" s="3"/>
      <c r="B1160" s="3"/>
      <c r="C1160" s="3"/>
    </row>
    <row r="1161" spans="1:3" x14ac:dyDescent="0.2">
      <c r="A1161" s="3"/>
      <c r="B1161" s="3"/>
      <c r="C1161" s="3"/>
    </row>
    <row r="1162" spans="1:3" x14ac:dyDescent="0.2">
      <c r="A1162" s="3"/>
      <c r="B1162" s="3"/>
      <c r="C1162" s="3"/>
    </row>
    <row r="1163" spans="1:3" x14ac:dyDescent="0.2">
      <c r="A1163" s="3"/>
      <c r="B1163" s="3"/>
      <c r="C1163" s="3"/>
    </row>
    <row r="1164" spans="1:3" x14ac:dyDescent="0.2">
      <c r="A1164" s="3"/>
      <c r="B1164" s="3"/>
      <c r="C1164" s="3"/>
    </row>
    <row r="1165" spans="1:3" x14ac:dyDescent="0.2">
      <c r="A1165" s="3"/>
      <c r="B1165" s="3"/>
      <c r="C1165" s="3"/>
    </row>
    <row r="1166" spans="1:3" x14ac:dyDescent="0.2">
      <c r="A1166" s="3"/>
      <c r="B1166" s="3"/>
      <c r="C1166" s="3"/>
    </row>
    <row r="1167" spans="1:3" x14ac:dyDescent="0.2">
      <c r="A1167" s="3"/>
      <c r="B1167" s="3"/>
      <c r="C1167" s="3"/>
    </row>
    <row r="1168" spans="1:3" x14ac:dyDescent="0.2">
      <c r="A1168" s="3"/>
      <c r="B1168" s="3"/>
      <c r="C1168" s="3"/>
    </row>
    <row r="1169" spans="1:3" x14ac:dyDescent="0.2">
      <c r="A1169" s="3"/>
      <c r="B1169" s="3"/>
      <c r="C1169" s="3"/>
    </row>
    <row r="1170" spans="1:3" x14ac:dyDescent="0.2">
      <c r="A1170" s="3"/>
      <c r="B1170" s="3"/>
      <c r="C1170" s="3"/>
    </row>
    <row r="1171" spans="1:3" x14ac:dyDescent="0.2">
      <c r="A1171" s="3"/>
      <c r="B1171" s="3"/>
      <c r="C1171" s="3"/>
    </row>
    <row r="1172" spans="1:3" x14ac:dyDescent="0.2">
      <c r="A1172" s="3"/>
      <c r="B1172" s="3"/>
      <c r="C1172" s="3"/>
    </row>
    <row r="1173" spans="1:3" x14ac:dyDescent="0.2">
      <c r="A1173" s="3"/>
      <c r="B1173" s="3"/>
      <c r="C1173" s="3"/>
    </row>
    <row r="1174" spans="1:3" x14ac:dyDescent="0.2">
      <c r="A1174" s="3"/>
      <c r="B1174" s="3"/>
      <c r="C1174" s="3"/>
    </row>
    <row r="1175" spans="1:3" x14ac:dyDescent="0.2">
      <c r="A1175" s="3"/>
      <c r="B1175" s="3"/>
      <c r="C1175" s="3"/>
    </row>
    <row r="1176" spans="1:3" x14ac:dyDescent="0.2">
      <c r="A1176" s="3"/>
      <c r="B1176" s="3"/>
      <c r="C1176" s="3"/>
    </row>
    <row r="1177" spans="1:3" x14ac:dyDescent="0.2">
      <c r="A1177" s="3"/>
      <c r="B1177" s="3"/>
      <c r="C1177" s="3"/>
    </row>
    <row r="1178" spans="1:3" x14ac:dyDescent="0.2">
      <c r="A1178" s="3"/>
      <c r="B1178" s="3"/>
      <c r="C1178" s="3"/>
    </row>
    <row r="1179" spans="1:3" x14ac:dyDescent="0.2">
      <c r="A1179" s="3"/>
      <c r="B1179" s="3"/>
      <c r="C1179" s="3"/>
    </row>
    <row r="1180" spans="1:3" x14ac:dyDescent="0.2">
      <c r="A1180" s="3"/>
      <c r="B1180" s="3"/>
      <c r="C1180" s="3"/>
    </row>
    <row r="1181" spans="1:3" x14ac:dyDescent="0.2">
      <c r="A1181" s="3"/>
      <c r="B1181" s="3"/>
      <c r="C1181" s="3"/>
    </row>
    <row r="1182" spans="1:3" x14ac:dyDescent="0.2">
      <c r="A1182" s="3"/>
      <c r="B1182" s="3"/>
      <c r="C1182" s="3"/>
    </row>
    <row r="1183" spans="1:3" x14ac:dyDescent="0.2">
      <c r="A1183" s="3"/>
      <c r="B1183" s="3"/>
      <c r="C1183" s="3"/>
    </row>
    <row r="1184" spans="1:3" x14ac:dyDescent="0.2">
      <c r="A1184" s="3"/>
      <c r="B1184" s="3"/>
      <c r="C1184" s="3"/>
    </row>
    <row r="1185" spans="1:3" x14ac:dyDescent="0.2">
      <c r="A1185" s="3"/>
      <c r="B1185" s="3"/>
      <c r="C1185" s="3"/>
    </row>
    <row r="1186" spans="1:3" x14ac:dyDescent="0.2">
      <c r="A1186" s="3"/>
      <c r="B1186" s="3"/>
      <c r="C1186" s="3"/>
    </row>
    <row r="1187" spans="1:3" x14ac:dyDescent="0.2">
      <c r="A1187" s="3"/>
      <c r="B1187" s="3"/>
      <c r="C1187" s="3"/>
    </row>
    <row r="1188" spans="1:3" x14ac:dyDescent="0.2">
      <c r="A1188" s="3"/>
      <c r="B1188" s="3"/>
      <c r="C1188" s="3"/>
    </row>
    <row r="1189" spans="1:3" x14ac:dyDescent="0.2">
      <c r="A1189" s="3"/>
      <c r="B1189" s="3"/>
      <c r="C1189" s="3"/>
    </row>
    <row r="1190" spans="1:3" x14ac:dyDescent="0.2">
      <c r="A1190" s="3"/>
      <c r="B1190" s="3"/>
      <c r="C1190" s="3"/>
    </row>
    <row r="1191" spans="1:3" x14ac:dyDescent="0.2">
      <c r="A1191" s="3"/>
      <c r="B1191" s="3"/>
      <c r="C1191" s="3"/>
    </row>
    <row r="1192" spans="1:3" x14ac:dyDescent="0.2">
      <c r="A1192" s="3"/>
      <c r="B1192" s="3"/>
      <c r="C1192" s="3"/>
    </row>
    <row r="1193" spans="1:3" x14ac:dyDescent="0.2">
      <c r="A1193" s="3"/>
      <c r="B1193" s="3"/>
      <c r="C1193" s="3"/>
    </row>
    <row r="1194" spans="1:3" x14ac:dyDescent="0.2">
      <c r="A1194" s="3"/>
      <c r="B1194" s="3"/>
      <c r="C1194" s="3"/>
    </row>
    <row r="1195" spans="1:3" x14ac:dyDescent="0.2">
      <c r="A1195" s="3"/>
      <c r="B1195" s="3"/>
      <c r="C1195" s="3"/>
    </row>
    <row r="1196" spans="1:3" x14ac:dyDescent="0.2">
      <c r="A1196" s="3"/>
      <c r="B1196" s="3"/>
      <c r="C1196" s="3"/>
    </row>
    <row r="1197" spans="1:3" x14ac:dyDescent="0.2">
      <c r="A1197" s="3"/>
      <c r="B1197" s="3"/>
      <c r="C1197" s="3"/>
    </row>
    <row r="1198" spans="1:3" x14ac:dyDescent="0.2">
      <c r="A1198" s="3"/>
      <c r="B1198" s="3"/>
      <c r="C1198" s="3"/>
    </row>
    <row r="1199" spans="1:3" x14ac:dyDescent="0.2">
      <c r="A1199" s="3"/>
      <c r="B1199" s="3"/>
      <c r="C1199" s="3"/>
    </row>
    <row r="1200" spans="1:3" x14ac:dyDescent="0.2">
      <c r="A1200" s="3"/>
      <c r="B1200" s="3"/>
      <c r="C1200" s="3"/>
    </row>
    <row r="1201" spans="1:3" x14ac:dyDescent="0.2">
      <c r="A1201" s="3"/>
      <c r="B1201" s="3"/>
      <c r="C1201" s="3"/>
    </row>
    <row r="1202" spans="1:3" x14ac:dyDescent="0.2">
      <c r="A1202" s="3"/>
      <c r="B1202" s="3"/>
      <c r="C1202" s="3"/>
    </row>
    <row r="1203" spans="1:3" x14ac:dyDescent="0.2">
      <c r="A1203" s="3"/>
      <c r="B1203" s="3"/>
      <c r="C1203" s="3"/>
    </row>
    <row r="1204" spans="1:3" x14ac:dyDescent="0.2">
      <c r="A1204" s="3"/>
      <c r="B1204" s="3"/>
      <c r="C1204" s="3"/>
    </row>
    <row r="1205" spans="1:3" x14ac:dyDescent="0.2">
      <c r="A1205" s="3"/>
      <c r="B1205" s="3"/>
      <c r="C1205" s="3"/>
    </row>
    <row r="1206" spans="1:3" x14ac:dyDescent="0.2">
      <c r="A1206" s="3"/>
      <c r="B1206" s="3"/>
      <c r="C1206" s="3"/>
    </row>
    <row r="1207" spans="1:3" x14ac:dyDescent="0.2">
      <c r="A1207" s="3"/>
      <c r="B1207" s="3"/>
      <c r="C1207" s="3"/>
    </row>
    <row r="1208" spans="1:3" x14ac:dyDescent="0.2">
      <c r="A1208" s="3"/>
      <c r="B1208" s="3"/>
      <c r="C1208" s="3"/>
    </row>
    <row r="1209" spans="1:3" x14ac:dyDescent="0.2">
      <c r="A1209" s="3"/>
      <c r="B1209" s="3"/>
      <c r="C1209" s="3"/>
    </row>
    <row r="1210" spans="1:3" x14ac:dyDescent="0.2">
      <c r="A1210" s="3"/>
      <c r="B1210" s="3"/>
      <c r="C1210" s="3"/>
    </row>
    <row r="1211" spans="1:3" x14ac:dyDescent="0.2">
      <c r="A1211" s="3"/>
      <c r="B1211" s="3"/>
      <c r="C1211" s="3"/>
    </row>
    <row r="1212" spans="1:3" x14ac:dyDescent="0.2">
      <c r="A1212" s="3"/>
      <c r="B1212" s="3"/>
      <c r="C1212" s="3"/>
    </row>
    <row r="1213" spans="1:3" x14ac:dyDescent="0.2">
      <c r="A1213" s="3"/>
      <c r="B1213" s="3"/>
      <c r="C1213" s="3"/>
    </row>
    <row r="1214" spans="1:3" x14ac:dyDescent="0.2">
      <c r="A1214" s="3"/>
      <c r="B1214" s="3"/>
      <c r="C1214" s="3"/>
    </row>
    <row r="1215" spans="1:3" x14ac:dyDescent="0.2">
      <c r="A1215" s="3"/>
      <c r="B1215" s="3"/>
      <c r="C1215" s="3"/>
    </row>
    <row r="1216" spans="1:3" x14ac:dyDescent="0.2">
      <c r="A1216" s="3"/>
      <c r="B1216" s="3"/>
      <c r="C1216" s="3"/>
    </row>
    <row r="1217" spans="1:3" x14ac:dyDescent="0.2">
      <c r="A1217" s="3"/>
      <c r="B1217" s="3"/>
      <c r="C1217" s="3"/>
    </row>
    <row r="1218" spans="1:3" x14ac:dyDescent="0.2">
      <c r="A1218" s="3"/>
      <c r="B1218" s="3"/>
      <c r="C1218" s="3"/>
    </row>
    <row r="1219" spans="1:3" x14ac:dyDescent="0.2">
      <c r="A1219" s="3"/>
      <c r="B1219" s="3"/>
      <c r="C1219" s="3"/>
    </row>
    <row r="1220" spans="1:3" x14ac:dyDescent="0.2">
      <c r="A1220" s="3"/>
      <c r="B1220" s="3"/>
      <c r="C1220" s="3"/>
    </row>
    <row r="1221" spans="1:3" x14ac:dyDescent="0.2">
      <c r="A1221" s="3"/>
      <c r="B1221" s="3"/>
      <c r="C1221" s="3"/>
    </row>
    <row r="1222" spans="1:3" x14ac:dyDescent="0.2">
      <c r="A1222" s="3"/>
      <c r="B1222" s="3"/>
      <c r="C1222" s="3"/>
    </row>
    <row r="1223" spans="1:3" x14ac:dyDescent="0.2">
      <c r="A1223" s="3"/>
      <c r="B1223" s="3"/>
      <c r="C1223" s="3"/>
    </row>
    <row r="1224" spans="1:3" x14ac:dyDescent="0.2">
      <c r="A1224" s="3"/>
      <c r="B1224" s="3"/>
      <c r="C1224" s="3"/>
    </row>
    <row r="1225" spans="1:3" x14ac:dyDescent="0.2">
      <c r="A1225" s="3"/>
      <c r="B1225" s="3"/>
      <c r="C1225" s="3"/>
    </row>
    <row r="1226" spans="1:3" x14ac:dyDescent="0.2">
      <c r="A1226" s="3"/>
      <c r="B1226" s="3"/>
      <c r="C1226" s="3"/>
    </row>
    <row r="1227" spans="1:3" x14ac:dyDescent="0.2">
      <c r="A1227" s="3"/>
      <c r="B1227" s="3"/>
      <c r="C1227" s="3"/>
    </row>
    <row r="1228" spans="1:3" x14ac:dyDescent="0.2">
      <c r="A1228" s="3"/>
      <c r="B1228" s="3"/>
      <c r="C1228" s="3"/>
    </row>
    <row r="1229" spans="1:3" x14ac:dyDescent="0.2">
      <c r="A1229" s="3"/>
      <c r="B1229" s="3"/>
      <c r="C1229" s="3"/>
    </row>
    <row r="1230" spans="1:3" x14ac:dyDescent="0.2">
      <c r="A1230" s="3"/>
      <c r="B1230" s="3"/>
      <c r="C1230" s="3"/>
    </row>
    <row r="1231" spans="1:3" x14ac:dyDescent="0.2">
      <c r="A1231" s="3"/>
      <c r="B1231" s="3"/>
      <c r="C1231" s="3"/>
    </row>
    <row r="1232" spans="1:3" x14ac:dyDescent="0.2">
      <c r="A1232" s="3"/>
      <c r="B1232" s="3"/>
      <c r="C1232" s="3"/>
    </row>
    <row r="1233" spans="1:3" x14ac:dyDescent="0.2">
      <c r="A1233" s="3"/>
      <c r="B1233" s="3"/>
      <c r="C1233" s="3"/>
    </row>
    <row r="1234" spans="1:3" x14ac:dyDescent="0.2">
      <c r="A1234" s="3"/>
      <c r="B1234" s="3"/>
      <c r="C1234" s="3"/>
    </row>
    <row r="1235" spans="1:3" x14ac:dyDescent="0.2">
      <c r="A1235" s="3"/>
      <c r="B1235" s="3"/>
      <c r="C1235" s="3"/>
    </row>
    <row r="1236" spans="1:3" x14ac:dyDescent="0.2">
      <c r="A1236" s="3"/>
      <c r="B1236" s="3"/>
      <c r="C1236" s="3"/>
    </row>
    <row r="1237" spans="1:3" x14ac:dyDescent="0.2">
      <c r="A1237" s="3"/>
      <c r="B1237" s="3"/>
      <c r="C1237" s="3"/>
    </row>
    <row r="1238" spans="1:3" x14ac:dyDescent="0.2">
      <c r="A1238" s="3"/>
      <c r="B1238" s="3"/>
      <c r="C1238" s="3"/>
    </row>
    <row r="1239" spans="1:3" x14ac:dyDescent="0.2">
      <c r="A1239" s="3"/>
      <c r="B1239" s="3"/>
      <c r="C1239" s="3"/>
    </row>
    <row r="1240" spans="1:3" x14ac:dyDescent="0.2">
      <c r="A1240" s="3"/>
      <c r="B1240" s="3"/>
      <c r="C1240" s="3"/>
    </row>
    <row r="1241" spans="1:3" x14ac:dyDescent="0.2">
      <c r="A1241" s="3"/>
      <c r="B1241" s="3"/>
      <c r="C1241" s="3"/>
    </row>
    <row r="1242" spans="1:3" x14ac:dyDescent="0.2">
      <c r="A1242" s="3"/>
      <c r="B1242" s="3"/>
      <c r="C1242" s="3"/>
    </row>
    <row r="1243" spans="1:3" x14ac:dyDescent="0.2">
      <c r="A1243" s="3"/>
      <c r="B1243" s="3"/>
      <c r="C1243" s="3"/>
    </row>
    <row r="1244" spans="1:3" x14ac:dyDescent="0.2">
      <c r="A1244" s="3"/>
      <c r="B1244" s="3"/>
      <c r="C1244" s="3"/>
    </row>
    <row r="1245" spans="1:3" x14ac:dyDescent="0.2">
      <c r="A1245" s="3"/>
      <c r="B1245" s="3"/>
      <c r="C1245" s="3"/>
    </row>
    <row r="1246" spans="1:3" x14ac:dyDescent="0.2">
      <c r="A1246" s="3"/>
      <c r="B1246" s="3"/>
      <c r="C1246" s="3"/>
    </row>
    <row r="1247" spans="1:3" x14ac:dyDescent="0.2">
      <c r="A1247" s="3"/>
      <c r="B1247" s="3"/>
      <c r="C1247" s="3"/>
    </row>
    <row r="1248" spans="1:3" x14ac:dyDescent="0.2">
      <c r="A1248" s="3"/>
      <c r="B1248" s="3"/>
      <c r="C1248" s="3"/>
    </row>
    <row r="1249" spans="1:3" x14ac:dyDescent="0.2">
      <c r="A1249" s="3"/>
      <c r="B1249" s="3"/>
      <c r="C1249" s="3"/>
    </row>
    <row r="1250" spans="1:3" x14ac:dyDescent="0.2">
      <c r="A1250" s="3"/>
      <c r="B1250" s="3"/>
      <c r="C1250" s="3"/>
    </row>
    <row r="1251" spans="1:3" x14ac:dyDescent="0.2">
      <c r="A1251" s="3"/>
      <c r="B1251" s="3"/>
      <c r="C1251" s="3"/>
    </row>
    <row r="1252" spans="1:3" x14ac:dyDescent="0.2">
      <c r="A1252" s="3"/>
      <c r="B1252" s="3"/>
      <c r="C1252" s="3"/>
    </row>
    <row r="1253" spans="1:3" x14ac:dyDescent="0.2">
      <c r="A1253" s="3"/>
      <c r="B1253" s="3"/>
      <c r="C1253" s="3"/>
    </row>
    <row r="1254" spans="1:3" x14ac:dyDescent="0.2">
      <c r="A1254" s="3"/>
      <c r="B1254" s="3"/>
      <c r="C1254" s="3"/>
    </row>
    <row r="1255" spans="1:3" x14ac:dyDescent="0.2">
      <c r="A1255" s="3"/>
      <c r="B1255" s="3"/>
      <c r="C1255" s="3"/>
    </row>
    <row r="1256" spans="1:3" x14ac:dyDescent="0.2">
      <c r="A1256" s="3"/>
      <c r="B1256" s="3"/>
      <c r="C1256" s="3"/>
    </row>
    <row r="1257" spans="1:3" x14ac:dyDescent="0.2">
      <c r="A1257" s="3"/>
      <c r="B1257" s="3"/>
      <c r="C1257" s="3"/>
    </row>
    <row r="1258" spans="1:3" x14ac:dyDescent="0.2">
      <c r="A1258" s="3"/>
      <c r="B1258" s="3"/>
      <c r="C1258" s="3"/>
    </row>
    <row r="1259" spans="1:3" x14ac:dyDescent="0.2">
      <c r="A1259" s="3"/>
      <c r="B1259" s="3"/>
      <c r="C1259" s="3"/>
    </row>
    <row r="1260" spans="1:3" x14ac:dyDescent="0.2">
      <c r="A1260" s="3"/>
      <c r="B1260" s="3"/>
      <c r="C1260" s="3"/>
    </row>
    <row r="1261" spans="1:3" x14ac:dyDescent="0.2">
      <c r="A1261" s="3"/>
      <c r="B1261" s="3"/>
      <c r="C1261" s="3"/>
    </row>
    <row r="1262" spans="1:3" x14ac:dyDescent="0.2">
      <c r="A1262" s="3"/>
      <c r="B1262" s="3"/>
      <c r="C1262" s="3"/>
    </row>
    <row r="1263" spans="1:3" x14ac:dyDescent="0.2">
      <c r="A1263" s="3"/>
      <c r="B1263" s="3"/>
      <c r="C1263" s="3"/>
    </row>
    <row r="1264" spans="1:3" x14ac:dyDescent="0.2">
      <c r="A1264" s="3"/>
      <c r="B1264" s="3"/>
      <c r="C1264" s="3"/>
    </row>
    <row r="1265" spans="1:3" x14ac:dyDescent="0.2">
      <c r="A1265" s="3"/>
      <c r="B1265" s="3"/>
      <c r="C1265" s="3"/>
    </row>
    <row r="1266" spans="1:3" x14ac:dyDescent="0.2">
      <c r="A1266" s="3"/>
      <c r="B1266" s="3"/>
      <c r="C1266" s="3"/>
    </row>
    <row r="1267" spans="1:3" x14ac:dyDescent="0.2">
      <c r="A1267" s="3"/>
      <c r="B1267" s="3"/>
      <c r="C1267" s="3"/>
    </row>
    <row r="1268" spans="1:3" x14ac:dyDescent="0.2">
      <c r="A1268" s="3"/>
      <c r="B1268" s="3"/>
      <c r="C1268" s="3"/>
    </row>
    <row r="1269" spans="1:3" x14ac:dyDescent="0.2">
      <c r="A1269" s="3"/>
      <c r="B1269" s="3"/>
      <c r="C1269" s="3"/>
    </row>
    <row r="1270" spans="1:3" x14ac:dyDescent="0.2">
      <c r="A1270" s="3"/>
      <c r="B1270" s="3"/>
      <c r="C1270" s="3"/>
    </row>
    <row r="1271" spans="1:3" x14ac:dyDescent="0.2">
      <c r="A1271" s="3"/>
      <c r="B1271" s="3"/>
      <c r="C1271" s="3"/>
    </row>
    <row r="1272" spans="1:3" x14ac:dyDescent="0.2">
      <c r="A1272" s="3"/>
      <c r="B1272" s="3"/>
      <c r="C1272" s="3"/>
    </row>
    <row r="1273" spans="1:3" x14ac:dyDescent="0.2">
      <c r="A1273" s="3"/>
      <c r="B1273" s="3"/>
      <c r="C1273" s="3"/>
    </row>
    <row r="1274" spans="1:3" x14ac:dyDescent="0.2">
      <c r="A1274" s="3"/>
      <c r="B1274" s="3"/>
      <c r="C1274" s="3"/>
    </row>
    <row r="1275" spans="1:3" x14ac:dyDescent="0.2">
      <c r="A1275" s="3"/>
      <c r="B1275" s="3"/>
      <c r="C1275" s="3"/>
    </row>
    <row r="1276" spans="1:3" x14ac:dyDescent="0.2">
      <c r="A1276" s="3"/>
      <c r="B1276" s="3"/>
      <c r="C1276" s="3"/>
    </row>
    <row r="1277" spans="1:3" x14ac:dyDescent="0.2">
      <c r="A1277" s="3"/>
      <c r="B1277" s="3"/>
      <c r="C1277" s="3"/>
    </row>
    <row r="1278" spans="1:3" x14ac:dyDescent="0.2">
      <c r="A1278" s="3"/>
      <c r="B1278" s="3"/>
      <c r="C1278" s="3"/>
    </row>
    <row r="1279" spans="1:3" x14ac:dyDescent="0.2">
      <c r="A1279" s="3"/>
      <c r="B1279" s="3"/>
      <c r="C1279" s="3"/>
    </row>
    <row r="1280" spans="1:3" x14ac:dyDescent="0.2">
      <c r="A1280" s="3"/>
      <c r="B1280" s="3"/>
      <c r="C1280" s="3"/>
    </row>
    <row r="1281" spans="1:3" x14ac:dyDescent="0.2">
      <c r="A1281" s="3"/>
      <c r="B1281" s="3"/>
      <c r="C1281" s="3"/>
    </row>
    <row r="1282" spans="1:3" x14ac:dyDescent="0.2">
      <c r="A1282" s="3"/>
      <c r="B1282" s="3"/>
      <c r="C1282" s="3"/>
    </row>
    <row r="1283" spans="1:3" x14ac:dyDescent="0.2">
      <c r="A1283" s="3"/>
      <c r="B1283" s="3"/>
      <c r="C1283" s="3"/>
    </row>
    <row r="1284" spans="1:3" x14ac:dyDescent="0.2">
      <c r="A1284" s="3"/>
      <c r="B1284" s="3"/>
      <c r="C1284" s="3"/>
    </row>
    <row r="1285" spans="1:3" x14ac:dyDescent="0.2">
      <c r="A1285" s="3"/>
      <c r="B1285" s="3"/>
      <c r="C1285" s="3"/>
    </row>
    <row r="1286" spans="1:3" x14ac:dyDescent="0.2">
      <c r="A1286" s="3"/>
      <c r="B1286" s="3"/>
      <c r="C1286" s="3"/>
    </row>
    <row r="1287" spans="1:3" x14ac:dyDescent="0.2">
      <c r="A1287" s="3"/>
      <c r="B1287" s="3"/>
      <c r="C1287" s="3"/>
    </row>
    <row r="1288" spans="1:3" x14ac:dyDescent="0.2">
      <c r="A1288" s="3"/>
      <c r="B1288" s="3"/>
      <c r="C1288" s="3"/>
    </row>
    <row r="1289" spans="1:3" x14ac:dyDescent="0.2">
      <c r="A1289" s="3"/>
      <c r="B1289" s="3"/>
      <c r="C1289" s="3"/>
    </row>
    <row r="1290" spans="1:3" x14ac:dyDescent="0.2">
      <c r="A1290" s="3"/>
      <c r="B1290" s="3"/>
      <c r="C1290" s="3"/>
    </row>
    <row r="1291" spans="1:3" x14ac:dyDescent="0.2">
      <c r="A1291" s="3"/>
      <c r="B1291" s="3"/>
      <c r="C1291" s="3"/>
    </row>
    <row r="1292" spans="1:3" x14ac:dyDescent="0.2">
      <c r="A1292" s="3"/>
      <c r="B1292" s="3"/>
      <c r="C1292" s="3"/>
    </row>
    <row r="1293" spans="1:3" x14ac:dyDescent="0.2">
      <c r="A1293" s="3"/>
      <c r="B1293" s="3"/>
      <c r="C1293" s="3"/>
    </row>
    <row r="1294" spans="1:3" x14ac:dyDescent="0.2">
      <c r="A1294" s="3"/>
      <c r="B1294" s="3"/>
      <c r="C1294" s="3"/>
    </row>
    <row r="1295" spans="1:3" x14ac:dyDescent="0.2">
      <c r="A1295" s="3"/>
      <c r="B1295" s="3"/>
      <c r="C1295" s="3"/>
    </row>
    <row r="1296" spans="1:3" x14ac:dyDescent="0.2">
      <c r="A1296" s="3"/>
      <c r="B1296" s="3"/>
      <c r="C1296" s="3"/>
    </row>
    <row r="1297" spans="1:3" x14ac:dyDescent="0.2">
      <c r="A1297" s="3"/>
      <c r="B1297" s="3"/>
      <c r="C1297" s="3"/>
    </row>
    <row r="1298" spans="1:3" x14ac:dyDescent="0.2">
      <c r="A1298" s="3"/>
      <c r="B1298" s="3"/>
      <c r="C1298" s="3"/>
    </row>
    <row r="1299" spans="1:3" x14ac:dyDescent="0.2">
      <c r="A1299" s="3"/>
      <c r="B1299" s="3"/>
      <c r="C1299" s="3"/>
    </row>
    <row r="1300" spans="1:3" x14ac:dyDescent="0.2">
      <c r="A1300" s="3"/>
      <c r="B1300" s="3"/>
      <c r="C1300" s="3"/>
    </row>
    <row r="1301" spans="1:3" x14ac:dyDescent="0.2">
      <c r="A1301" s="3"/>
      <c r="B1301" s="3"/>
      <c r="C1301" s="3"/>
    </row>
    <row r="1302" spans="1:3" x14ac:dyDescent="0.2">
      <c r="A1302" s="3"/>
      <c r="B1302" s="3"/>
      <c r="C1302" s="3"/>
    </row>
    <row r="1303" spans="1:3" x14ac:dyDescent="0.2">
      <c r="A1303" s="3"/>
      <c r="B1303" s="3"/>
      <c r="C1303" s="3"/>
    </row>
    <row r="1304" spans="1:3" x14ac:dyDescent="0.2">
      <c r="A1304" s="3"/>
      <c r="B1304" s="3"/>
      <c r="C1304" s="3"/>
    </row>
    <row r="1305" spans="1:3" x14ac:dyDescent="0.2">
      <c r="A1305" s="3"/>
      <c r="B1305" s="3"/>
      <c r="C1305" s="3"/>
    </row>
    <row r="1306" spans="1:3" x14ac:dyDescent="0.2">
      <c r="A1306" s="3"/>
      <c r="B1306" s="3"/>
      <c r="C1306" s="3"/>
    </row>
    <row r="1307" spans="1:3" x14ac:dyDescent="0.2">
      <c r="A1307" s="3"/>
      <c r="B1307" s="3"/>
      <c r="C1307" s="3"/>
    </row>
    <row r="1308" spans="1:3" x14ac:dyDescent="0.2">
      <c r="A1308" s="3"/>
      <c r="B1308" s="3"/>
      <c r="C1308" s="3"/>
    </row>
    <row r="1309" spans="1:3" x14ac:dyDescent="0.2">
      <c r="A1309" s="3"/>
      <c r="B1309" s="3"/>
      <c r="C1309" s="3"/>
    </row>
    <row r="1310" spans="1:3" x14ac:dyDescent="0.2">
      <c r="A1310" s="3"/>
      <c r="B1310" s="3"/>
      <c r="C1310" s="3"/>
    </row>
    <row r="1311" spans="1:3" x14ac:dyDescent="0.2">
      <c r="A1311" s="3"/>
      <c r="B1311" s="3"/>
      <c r="C1311" s="3"/>
    </row>
    <row r="1312" spans="1:3" x14ac:dyDescent="0.2">
      <c r="A1312" s="3"/>
      <c r="B1312" s="3"/>
      <c r="C1312" s="3"/>
    </row>
    <row r="1313" spans="1:3" x14ac:dyDescent="0.2">
      <c r="A1313" s="3"/>
      <c r="B1313" s="3"/>
      <c r="C1313" s="3"/>
    </row>
    <row r="1314" spans="1:3" x14ac:dyDescent="0.2">
      <c r="A1314" s="3"/>
      <c r="B1314" s="3"/>
      <c r="C1314" s="3"/>
    </row>
    <row r="1315" spans="1:3" x14ac:dyDescent="0.2">
      <c r="A1315" s="3"/>
      <c r="B1315" s="3"/>
      <c r="C1315" s="3"/>
    </row>
    <row r="1316" spans="1:3" x14ac:dyDescent="0.2">
      <c r="A1316" s="3"/>
      <c r="B1316" s="3"/>
      <c r="C1316" s="3"/>
    </row>
    <row r="1317" spans="1:3" x14ac:dyDescent="0.2">
      <c r="A1317" s="3"/>
      <c r="B1317" s="3"/>
      <c r="C1317" s="3"/>
    </row>
    <row r="1318" spans="1:3" x14ac:dyDescent="0.2">
      <c r="A1318" s="3"/>
      <c r="B1318" s="3"/>
      <c r="C1318" s="3"/>
    </row>
    <row r="1319" spans="1:3" x14ac:dyDescent="0.2">
      <c r="A1319" s="3"/>
      <c r="B1319" s="3"/>
      <c r="C1319" s="3"/>
    </row>
    <row r="1320" spans="1:3" x14ac:dyDescent="0.2">
      <c r="A1320" s="3"/>
      <c r="B1320" s="3"/>
      <c r="C1320" s="3"/>
    </row>
    <row r="1321" spans="1:3" x14ac:dyDescent="0.2">
      <c r="A1321" s="3"/>
      <c r="B1321" s="3"/>
      <c r="C1321" s="3"/>
    </row>
    <row r="1322" spans="1:3" x14ac:dyDescent="0.2">
      <c r="A1322" s="3"/>
      <c r="B1322" s="3"/>
      <c r="C1322" s="3"/>
    </row>
    <row r="1323" spans="1:3" x14ac:dyDescent="0.2">
      <c r="A1323" s="3"/>
      <c r="B1323" s="3"/>
      <c r="C1323" s="3"/>
    </row>
    <row r="1324" spans="1:3" x14ac:dyDescent="0.2">
      <c r="A1324" s="3"/>
      <c r="B1324" s="3"/>
      <c r="C1324" s="3"/>
    </row>
    <row r="1325" spans="1:3" x14ac:dyDescent="0.2">
      <c r="A1325" s="3"/>
      <c r="B1325" s="3"/>
      <c r="C1325" s="3"/>
    </row>
    <row r="1326" spans="1:3" x14ac:dyDescent="0.2">
      <c r="A1326" s="3"/>
      <c r="B1326" s="3"/>
      <c r="C1326" s="3"/>
    </row>
    <row r="1327" spans="1:3" x14ac:dyDescent="0.2">
      <c r="A1327" s="3"/>
      <c r="B1327" s="3"/>
      <c r="C1327" s="3"/>
    </row>
    <row r="1328" spans="1:3" x14ac:dyDescent="0.2">
      <c r="A1328" s="3"/>
      <c r="B1328" s="3"/>
      <c r="C1328" s="3"/>
    </row>
    <row r="1329" spans="1:3" x14ac:dyDescent="0.2">
      <c r="A1329" s="3"/>
      <c r="B1329" s="3"/>
      <c r="C1329" s="3"/>
    </row>
    <row r="1330" spans="1:3" x14ac:dyDescent="0.2">
      <c r="A1330" s="3"/>
      <c r="B1330" s="3"/>
      <c r="C1330" s="3"/>
    </row>
    <row r="1331" spans="1:3" x14ac:dyDescent="0.2">
      <c r="A1331" s="3"/>
      <c r="B1331" s="3"/>
      <c r="C1331" s="3"/>
    </row>
    <row r="1332" spans="1:3" x14ac:dyDescent="0.2">
      <c r="A1332" s="3"/>
      <c r="B1332" s="3"/>
      <c r="C1332" s="3"/>
    </row>
    <row r="1333" spans="1:3" x14ac:dyDescent="0.2">
      <c r="A1333" s="3"/>
      <c r="B1333" s="3"/>
      <c r="C1333" s="3"/>
    </row>
    <row r="1334" spans="1:3" x14ac:dyDescent="0.2">
      <c r="A1334" s="3"/>
      <c r="B1334" s="3"/>
      <c r="C1334" s="3"/>
    </row>
    <row r="1335" spans="1:3" x14ac:dyDescent="0.2">
      <c r="A1335" s="3"/>
      <c r="B1335" s="3"/>
      <c r="C1335" s="3"/>
    </row>
    <row r="1336" spans="1:3" x14ac:dyDescent="0.2">
      <c r="A1336" s="3"/>
      <c r="B1336" s="3"/>
      <c r="C1336" s="3"/>
    </row>
    <row r="1337" spans="1:3" x14ac:dyDescent="0.2">
      <c r="A1337" s="3"/>
      <c r="B1337" s="3"/>
      <c r="C1337" s="3"/>
    </row>
    <row r="1338" spans="1:3" x14ac:dyDescent="0.2">
      <c r="A1338" s="3"/>
      <c r="B1338" s="3"/>
      <c r="C1338" s="3"/>
    </row>
    <row r="1339" spans="1:3" x14ac:dyDescent="0.2">
      <c r="A1339" s="3"/>
      <c r="B1339" s="3"/>
      <c r="C1339" s="3"/>
    </row>
    <row r="1340" spans="1:3" x14ac:dyDescent="0.2">
      <c r="A1340" s="3"/>
      <c r="B1340" s="3"/>
      <c r="C1340" s="3"/>
    </row>
    <row r="1341" spans="1:3" x14ac:dyDescent="0.2">
      <c r="A1341" s="3"/>
      <c r="B1341" s="3"/>
      <c r="C1341" s="3"/>
    </row>
    <row r="1342" spans="1:3" x14ac:dyDescent="0.2">
      <c r="A1342" s="3"/>
      <c r="B1342" s="3"/>
      <c r="C1342" s="3"/>
    </row>
    <row r="1343" spans="1:3" x14ac:dyDescent="0.2">
      <c r="A1343" s="3"/>
      <c r="B1343" s="3"/>
      <c r="C1343" s="3"/>
    </row>
    <row r="1344" spans="1:3" x14ac:dyDescent="0.2">
      <c r="A1344" s="3"/>
      <c r="B1344" s="3"/>
      <c r="C1344" s="3"/>
    </row>
    <row r="1345" spans="1:3" x14ac:dyDescent="0.2">
      <c r="A1345" s="3"/>
      <c r="B1345" s="3"/>
      <c r="C1345" s="3"/>
    </row>
    <row r="1346" spans="1:3" x14ac:dyDescent="0.2">
      <c r="A1346" s="3"/>
      <c r="B1346" s="3"/>
      <c r="C1346" s="3"/>
    </row>
    <row r="1347" spans="1:3" x14ac:dyDescent="0.2">
      <c r="A1347" s="3"/>
      <c r="B1347" s="3"/>
      <c r="C1347" s="3"/>
    </row>
    <row r="1348" spans="1:3" x14ac:dyDescent="0.2">
      <c r="A1348" s="3"/>
      <c r="B1348" s="3"/>
      <c r="C1348" s="3"/>
    </row>
    <row r="1349" spans="1:3" x14ac:dyDescent="0.2">
      <c r="A1349" s="3"/>
      <c r="B1349" s="3"/>
      <c r="C1349" s="3"/>
    </row>
    <row r="1350" spans="1:3" x14ac:dyDescent="0.2">
      <c r="A1350" s="3"/>
      <c r="B1350" s="3"/>
      <c r="C1350" s="3"/>
    </row>
  </sheetData>
  <conditionalFormatting sqref="A3:C1350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B22"/>
  <sheetViews>
    <sheetView workbookViewId="0"/>
  </sheetViews>
  <sheetFormatPr defaultColWidth="12.5703125" defaultRowHeight="15.75" customHeight="1" x14ac:dyDescent="0.2"/>
  <cols>
    <col min="2" max="2" width="17.140625" customWidth="1"/>
  </cols>
  <sheetData>
    <row r="2" spans="2:2" x14ac:dyDescent="0.2">
      <c r="B2" s="2" t="e">
        <f t="array" aca="1" ref="B2:B22" ca="1">UNIQUE('Airfield List'!B3:B1000)</f>
        <v>#NAME?</v>
      </c>
    </row>
    <row r="3" spans="2:2" x14ac:dyDescent="0.2">
      <c r="B3" s="2" t="e">
        <f ca="1"/>
        <v>#NAME?</v>
      </c>
    </row>
    <row r="4" spans="2:2" x14ac:dyDescent="0.2">
      <c r="B4" s="2" t="e">
        <f ca="1"/>
        <v>#NAME?</v>
      </c>
    </row>
    <row r="5" spans="2:2" x14ac:dyDescent="0.2">
      <c r="B5" s="2" t="e">
        <f ca="1"/>
        <v>#NAME?</v>
      </c>
    </row>
    <row r="6" spans="2:2" x14ac:dyDescent="0.2">
      <c r="B6" s="2" t="e">
        <f ca="1"/>
        <v>#NAME?</v>
      </c>
    </row>
    <row r="7" spans="2:2" x14ac:dyDescent="0.2">
      <c r="B7" s="2" t="e">
        <f ca="1"/>
        <v>#NAME?</v>
      </c>
    </row>
    <row r="8" spans="2:2" x14ac:dyDescent="0.2">
      <c r="B8" s="2" t="e">
        <f ca="1"/>
        <v>#NAME?</v>
      </c>
    </row>
    <row r="9" spans="2:2" x14ac:dyDescent="0.2">
      <c r="B9" s="2" t="e">
        <f ca="1"/>
        <v>#NAME?</v>
      </c>
    </row>
    <row r="10" spans="2:2" x14ac:dyDescent="0.2">
      <c r="B10" s="2" t="e">
        <f ca="1"/>
        <v>#NAME?</v>
      </c>
    </row>
    <row r="11" spans="2:2" x14ac:dyDescent="0.2">
      <c r="B11" s="2" t="e">
        <f ca="1"/>
        <v>#NAME?</v>
      </c>
    </row>
    <row r="12" spans="2:2" x14ac:dyDescent="0.2">
      <c r="B12" s="2" t="e">
        <f ca="1"/>
        <v>#NAME?</v>
      </c>
    </row>
    <row r="13" spans="2:2" x14ac:dyDescent="0.2">
      <c r="B13" s="2" t="e">
        <f ca="1"/>
        <v>#NAME?</v>
      </c>
    </row>
    <row r="14" spans="2:2" x14ac:dyDescent="0.2">
      <c r="B14" s="2" t="e">
        <f ca="1"/>
        <v>#NAME?</v>
      </c>
    </row>
    <row r="15" spans="2:2" x14ac:dyDescent="0.2">
      <c r="B15" s="2" t="e">
        <f ca="1"/>
        <v>#NAME?</v>
      </c>
    </row>
    <row r="16" spans="2:2" x14ac:dyDescent="0.2">
      <c r="B16" s="2" t="e">
        <f ca="1"/>
        <v>#NAME?</v>
      </c>
    </row>
    <row r="17" spans="2:2" x14ac:dyDescent="0.2">
      <c r="B17" s="2" t="e">
        <f ca="1"/>
        <v>#NAME?</v>
      </c>
    </row>
    <row r="18" spans="2:2" x14ac:dyDescent="0.2">
      <c r="B18" s="2" t="e">
        <f ca="1"/>
        <v>#NAME?</v>
      </c>
    </row>
    <row r="19" spans="2:2" x14ac:dyDescent="0.2">
      <c r="B19" s="2" t="e">
        <f ca="1"/>
        <v>#NAME?</v>
      </c>
    </row>
    <row r="20" spans="2:2" x14ac:dyDescent="0.2">
      <c r="B20" s="2" t="e">
        <f ca="1"/>
        <v>#NAME?</v>
      </c>
    </row>
    <row r="21" spans="2:2" x14ac:dyDescent="0.2">
      <c r="B21" s="2" t="e">
        <f ca="1"/>
        <v>#NAME?</v>
      </c>
    </row>
    <row r="22" spans="2:2" x14ac:dyDescent="0.2">
      <c r="B22" s="2" t="e">
        <f ca="1"/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24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" sqref="B2"/>
    </sheetView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  <col min="5" max="5" width="23.7109375" customWidth="1"/>
    <col min="6" max="6" width="19.7109375" customWidth="1"/>
    <col min="7" max="7" width="21.5703125" customWidth="1"/>
    <col min="8" max="8" width="22.42578125" customWidth="1"/>
    <col min="9" max="9" width="15.7109375" customWidth="1"/>
    <col min="10" max="10" width="19.7109375" customWidth="1"/>
    <col min="11" max="11" width="21.28515625" customWidth="1"/>
    <col min="12" max="12" width="13.85546875" customWidth="1"/>
    <col min="13" max="13" width="21.85546875" customWidth="1"/>
    <col min="14" max="14" width="22.42578125" customWidth="1"/>
    <col min="15" max="15" width="21.140625" customWidth="1"/>
    <col min="17" max="17" width="30.85546875" customWidth="1"/>
  </cols>
  <sheetData>
    <row r="2" spans="1:26" x14ac:dyDescent="0.2">
      <c r="A2" s="6"/>
      <c r="B2" s="7" t="s">
        <v>0</v>
      </c>
      <c r="C2" s="7" t="s">
        <v>1</v>
      </c>
      <c r="D2" s="7" t="s">
        <v>2</v>
      </c>
      <c r="E2" s="8" t="s">
        <v>459</v>
      </c>
      <c r="F2" s="9" t="s">
        <v>460</v>
      </c>
      <c r="G2" s="10" t="s">
        <v>461</v>
      </c>
      <c r="H2" s="11" t="s">
        <v>462</v>
      </c>
      <c r="I2" s="12" t="s">
        <v>463</v>
      </c>
      <c r="J2" s="13" t="s">
        <v>464</v>
      </c>
      <c r="K2" s="14" t="s">
        <v>465</v>
      </c>
      <c r="L2" s="9" t="s">
        <v>466</v>
      </c>
      <c r="M2" s="15" t="s">
        <v>467</v>
      </c>
      <c r="N2" s="16" t="s">
        <v>468</v>
      </c>
      <c r="O2" s="17" t="s">
        <v>469</v>
      </c>
      <c r="P2" s="18" t="s">
        <v>470</v>
      </c>
      <c r="Q2" s="17" t="s">
        <v>471</v>
      </c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B3" s="1" t="s">
        <v>3</v>
      </c>
      <c r="C3" s="19" t="str">
        <f ca="1">IFERROR(__xludf.DUMMYFUNCTION("FILTER('Airfield List'!A3:A1000, 'Airfield List'!B3:B1000 = B3)"),"Airspray")</f>
        <v>Airspray</v>
      </c>
      <c r="D3" s="2" t="str">
        <f ca="1">IFERROR(__xludf.DUMMYFUNCTION("FILTER(C3:C1000, ISNUMBER(SEARCH(""International"", C3:C1000)))"),"Eldoret International ")</f>
        <v xml:space="preserve">Eldoret International </v>
      </c>
      <c r="E3" s="20" t="s">
        <v>21</v>
      </c>
      <c r="F3" s="20" t="s">
        <v>54</v>
      </c>
      <c r="G3" s="20" t="s">
        <v>224</v>
      </c>
      <c r="H3" s="20" t="s">
        <v>24</v>
      </c>
      <c r="I3" s="1" t="s">
        <v>14</v>
      </c>
      <c r="J3" s="20" t="s">
        <v>28</v>
      </c>
      <c r="K3" s="20" t="s">
        <v>66</v>
      </c>
      <c r="L3" s="20" t="s">
        <v>75</v>
      </c>
      <c r="M3" s="20" t="s">
        <v>19</v>
      </c>
      <c r="N3" s="20" t="s">
        <v>100</v>
      </c>
      <c r="O3" s="20" t="s">
        <v>67</v>
      </c>
      <c r="P3" s="20" t="s">
        <v>20</v>
      </c>
      <c r="Q3" s="20" t="s">
        <v>312</v>
      </c>
    </row>
    <row r="4" spans="1:26" x14ac:dyDescent="0.2">
      <c r="C4" s="21" t="str">
        <f ca="1">IFERROR(__xludf.DUMMYFUNCTION("""COMPUTED_VALUE"""),"Alia Bay")</f>
        <v>Alia Bay</v>
      </c>
      <c r="D4" s="2" t="str">
        <f ca="1">IFERROR(__xludf.DUMMYFUNCTION("""COMPUTED_VALUE"""),"Kisumu International")</f>
        <v>Kisumu International</v>
      </c>
      <c r="E4" s="20" t="s">
        <v>73</v>
      </c>
      <c r="F4" s="20" t="s">
        <v>70</v>
      </c>
      <c r="G4" s="20" t="s">
        <v>225</v>
      </c>
      <c r="H4" s="20" t="s">
        <v>52</v>
      </c>
      <c r="I4" s="20" t="s">
        <v>40</v>
      </c>
      <c r="J4" s="20" t="s">
        <v>74</v>
      </c>
      <c r="K4" s="20" t="s">
        <v>69</v>
      </c>
      <c r="L4" s="20" t="s">
        <v>93</v>
      </c>
      <c r="M4" s="20" t="s">
        <v>91</v>
      </c>
      <c r="N4" s="20" t="s">
        <v>194</v>
      </c>
      <c r="O4" s="20" t="s">
        <v>137</v>
      </c>
      <c r="P4" s="20" t="s">
        <v>191</v>
      </c>
      <c r="Q4" s="20" t="s">
        <v>313</v>
      </c>
    </row>
    <row r="5" spans="1:26" x14ac:dyDescent="0.2">
      <c r="C5" s="22" t="str">
        <f ca="1">IFERROR(__xludf.DUMMYFUNCTION("""COMPUTED_VALUE"""),"Amboseli")</f>
        <v>Amboseli</v>
      </c>
      <c r="D5" s="2" t="str">
        <f ca="1">IFERROR(__xludf.DUMMYFUNCTION("""COMPUTED_VALUE"""),"Lokichoggio International")</f>
        <v>Lokichoggio International</v>
      </c>
      <c r="E5" s="20" t="s">
        <v>173</v>
      </c>
      <c r="F5" s="20" t="s">
        <v>98</v>
      </c>
      <c r="G5" s="20" t="s">
        <v>261</v>
      </c>
      <c r="H5" s="20" t="s">
        <v>62</v>
      </c>
      <c r="I5" s="20" t="s">
        <v>42</v>
      </c>
      <c r="J5" s="20" t="s">
        <v>90</v>
      </c>
      <c r="K5" s="20" t="s">
        <v>106</v>
      </c>
      <c r="L5" s="20" t="s">
        <v>116</v>
      </c>
      <c r="M5" s="20" t="s">
        <v>138</v>
      </c>
      <c r="N5" s="20" t="s">
        <v>213</v>
      </c>
      <c r="O5" s="20" t="s">
        <v>140</v>
      </c>
      <c r="P5" s="20" t="s">
        <v>276</v>
      </c>
      <c r="Q5" s="20" t="s">
        <v>352</v>
      </c>
    </row>
    <row r="6" spans="1:26" x14ac:dyDescent="0.2">
      <c r="C6" s="23" t="str">
        <f ca="1">IFERROR(__xludf.DUMMYFUNCTION("""COMPUTED_VALUE"""),"Angama")</f>
        <v>Angama</v>
      </c>
      <c r="D6" s="2" t="str">
        <f ca="1">IFERROR(__xludf.DUMMYFUNCTION("""COMPUTED_VALUE"""),"Malindi International")</f>
        <v>Malindi International</v>
      </c>
      <c r="E6" s="20" t="s">
        <v>266</v>
      </c>
      <c r="F6" s="20" t="s">
        <v>101</v>
      </c>
      <c r="G6" s="20" t="s">
        <v>262</v>
      </c>
      <c r="H6" s="20" t="s">
        <v>94</v>
      </c>
      <c r="I6" s="20" t="s">
        <v>71</v>
      </c>
      <c r="J6" s="20" t="s">
        <v>111</v>
      </c>
      <c r="K6" s="20" t="s">
        <v>160</v>
      </c>
      <c r="L6" s="20" t="s">
        <v>118</v>
      </c>
      <c r="M6" s="20" t="s">
        <v>154</v>
      </c>
      <c r="N6" s="20" t="s">
        <v>280</v>
      </c>
      <c r="O6" s="20" t="s">
        <v>156</v>
      </c>
      <c r="P6" s="20" t="s">
        <v>316</v>
      </c>
      <c r="Q6" s="20" t="s">
        <v>419</v>
      </c>
    </row>
    <row r="7" spans="1:26" x14ac:dyDescent="0.2">
      <c r="C7" s="24" t="str">
        <f ca="1">IFERROR(__xludf.DUMMYFUNCTION("""COMPUTED_VALUE"""),"Arroket Sotik")</f>
        <v>Arroket Sotik</v>
      </c>
      <c r="D7" s="2" t="str">
        <f ca="1">IFERROR(__xludf.DUMMYFUNCTION("""COMPUTED_VALUE"""),"Mombasa International")</f>
        <v>Mombasa International</v>
      </c>
      <c r="E7" s="20" t="s">
        <v>267</v>
      </c>
      <c r="F7" s="20" t="s">
        <v>102</v>
      </c>
      <c r="G7" s="20" t="s">
        <v>434</v>
      </c>
      <c r="H7" s="20" t="s">
        <v>95</v>
      </c>
      <c r="I7" s="20" t="s">
        <v>77</v>
      </c>
      <c r="J7" s="20" t="s">
        <v>141</v>
      </c>
      <c r="K7" s="20" t="s">
        <v>162</v>
      </c>
      <c r="L7" s="20" t="s">
        <v>127</v>
      </c>
      <c r="M7" s="20" t="s">
        <v>155</v>
      </c>
      <c r="N7" s="20" t="s">
        <v>299</v>
      </c>
      <c r="O7" s="20" t="s">
        <v>159</v>
      </c>
      <c r="P7" s="20" t="s">
        <v>421</v>
      </c>
      <c r="Q7" s="20" t="s">
        <v>424</v>
      </c>
    </row>
    <row r="8" spans="1:26" x14ac:dyDescent="0.2">
      <c r="C8" s="25" t="str">
        <f ca="1">IFERROR(__xludf.DUMMYFUNCTION("""COMPUTED_VALUE"""),"Aruba")</f>
        <v>Aruba</v>
      </c>
      <c r="D8" s="2" t="str">
        <f ca="1">IFERROR(__xludf.DUMMYFUNCTION("""COMPUTED_VALUE"""),"Nairobi Jomo Kenyatta International")</f>
        <v>Nairobi Jomo Kenyatta International</v>
      </c>
      <c r="E8" s="20" t="s">
        <v>268</v>
      </c>
      <c r="F8" s="20" t="s">
        <v>136</v>
      </c>
      <c r="G8" s="20" t="s">
        <v>37</v>
      </c>
      <c r="H8" s="20" t="s">
        <v>107</v>
      </c>
      <c r="I8" s="20" t="s">
        <v>78</v>
      </c>
      <c r="J8" s="20" t="s">
        <v>142</v>
      </c>
      <c r="K8" s="20" t="s">
        <v>187</v>
      </c>
      <c r="L8" s="20" t="s">
        <v>133</v>
      </c>
      <c r="M8" s="20" t="s">
        <v>211</v>
      </c>
      <c r="O8" s="20" t="s">
        <v>202</v>
      </c>
    </row>
    <row r="9" spans="1:26" x14ac:dyDescent="0.2">
      <c r="C9" s="21" t="str">
        <f ca="1">IFERROR(__xludf.DUMMYFUNCTION("""COMPUTED_VALUE"""),"Bahasi")</f>
        <v>Bahasi</v>
      </c>
      <c r="D9" s="2" t="str">
        <f ca="1">IFERROR(__xludf.DUMMYFUNCTION("""COMPUTED_VALUE"""),"Nairobi Wilson International")</f>
        <v>Nairobi Wilson International</v>
      </c>
      <c r="E9" s="20" t="s">
        <v>324</v>
      </c>
      <c r="F9" s="20" t="s">
        <v>161</v>
      </c>
      <c r="G9" s="20" t="s">
        <v>110</v>
      </c>
      <c r="H9" s="20" t="s">
        <v>108</v>
      </c>
      <c r="I9" s="20" t="s">
        <v>96</v>
      </c>
      <c r="J9" s="20" t="s">
        <v>158</v>
      </c>
      <c r="K9" s="20" t="s">
        <v>188</v>
      </c>
      <c r="L9" s="20" t="s">
        <v>176</v>
      </c>
      <c r="M9" s="20" t="s">
        <v>214</v>
      </c>
      <c r="O9" s="20" t="s">
        <v>273</v>
      </c>
    </row>
    <row r="10" spans="1:26" x14ac:dyDescent="0.2">
      <c r="C10" s="26" t="str">
        <f ca="1">IFERROR(__xludf.DUMMYFUNCTION("""COMPUTED_VALUE"""),"Bamburi")</f>
        <v>Bamburi</v>
      </c>
      <c r="E10" s="20" t="s">
        <v>335</v>
      </c>
      <c r="F10" s="20" t="s">
        <v>163</v>
      </c>
      <c r="G10" s="20" t="s">
        <v>183</v>
      </c>
      <c r="H10" s="20" t="s">
        <v>134</v>
      </c>
      <c r="I10" s="20" t="s">
        <v>99</v>
      </c>
      <c r="J10" s="20" t="s">
        <v>186</v>
      </c>
      <c r="K10" s="20" t="s">
        <v>201</v>
      </c>
      <c r="L10" s="20" t="s">
        <v>203</v>
      </c>
      <c r="M10" s="20" t="s">
        <v>216</v>
      </c>
      <c r="O10" s="20" t="s">
        <v>282</v>
      </c>
    </row>
    <row r="11" spans="1:26" x14ac:dyDescent="0.2">
      <c r="C11" s="19" t="str">
        <f ca="1">IFERROR(__xludf.DUMMYFUNCTION("""COMPUTED_VALUE"""),"Barclays")</f>
        <v>Barclays</v>
      </c>
      <c r="E11" s="20" t="s">
        <v>347</v>
      </c>
      <c r="F11" s="20" t="s">
        <v>192</v>
      </c>
      <c r="G11" s="20" t="s">
        <v>189</v>
      </c>
      <c r="H11" s="20" t="s">
        <v>153</v>
      </c>
      <c r="I11" s="20" t="s">
        <v>119</v>
      </c>
      <c r="J11" s="20" t="s">
        <v>218</v>
      </c>
      <c r="K11" s="20" t="s">
        <v>222</v>
      </c>
      <c r="L11" s="20" t="s">
        <v>233</v>
      </c>
      <c r="M11" s="20" t="s">
        <v>240</v>
      </c>
      <c r="O11" s="20" t="s">
        <v>380</v>
      </c>
    </row>
    <row r="12" spans="1:26" x14ac:dyDescent="0.2">
      <c r="C12" s="19" t="str">
        <f ca="1">IFERROR(__xludf.DUMMYFUNCTION("""COMPUTED_VALUE"""),"Baringo")</f>
        <v>Baringo</v>
      </c>
      <c r="E12" s="20" t="s">
        <v>348</v>
      </c>
      <c r="F12" s="20" t="s">
        <v>197</v>
      </c>
      <c r="G12" s="20" t="s">
        <v>204</v>
      </c>
      <c r="H12" s="20" t="s">
        <v>166</v>
      </c>
      <c r="I12" s="20" t="s">
        <v>120</v>
      </c>
      <c r="J12" s="20" t="s">
        <v>247</v>
      </c>
      <c r="K12" s="20" t="s">
        <v>239</v>
      </c>
      <c r="L12" s="20" t="s">
        <v>263</v>
      </c>
      <c r="M12" s="20" t="s">
        <v>241</v>
      </c>
      <c r="O12" s="20" t="s">
        <v>387</v>
      </c>
    </row>
    <row r="13" spans="1:26" x14ac:dyDescent="0.2">
      <c r="C13" s="24" t="str">
        <f ca="1">IFERROR(__xludf.DUMMYFUNCTION("""COMPUTED_VALUE"""),"Bomet")</f>
        <v>Bomet</v>
      </c>
      <c r="E13" s="20" t="s">
        <v>351</v>
      </c>
      <c r="F13" s="20" t="s">
        <v>208</v>
      </c>
      <c r="G13" s="20" t="s">
        <v>285</v>
      </c>
      <c r="H13" s="20" t="s">
        <v>167</v>
      </c>
      <c r="I13" s="20" t="s">
        <v>124</v>
      </c>
      <c r="J13" s="20" t="s">
        <v>296</v>
      </c>
      <c r="K13" s="20" t="s">
        <v>257</v>
      </c>
      <c r="L13" s="20" t="s">
        <v>293</v>
      </c>
      <c r="M13" s="20" t="s">
        <v>242</v>
      </c>
      <c r="O13" s="20" t="s">
        <v>389</v>
      </c>
    </row>
    <row r="14" spans="1:26" x14ac:dyDescent="0.2">
      <c r="C14" s="27" t="str">
        <f ca="1">IFERROR(__xludf.DUMMYFUNCTION("""COMPUTED_VALUE"""),"Borana")</f>
        <v>Borana</v>
      </c>
      <c r="E14" s="20" t="s">
        <v>396</v>
      </c>
      <c r="F14" s="20" t="s">
        <v>220</v>
      </c>
      <c r="G14" s="20" t="s">
        <v>472</v>
      </c>
      <c r="H14" s="20" t="s">
        <v>175</v>
      </c>
      <c r="I14" s="20" t="s">
        <v>146</v>
      </c>
      <c r="J14" s="20" t="s">
        <v>371</v>
      </c>
      <c r="K14" s="20" t="s">
        <v>265</v>
      </c>
      <c r="L14" s="20" t="s">
        <v>370</v>
      </c>
      <c r="M14" s="20" t="s">
        <v>243</v>
      </c>
      <c r="O14" s="20" t="s">
        <v>390</v>
      </c>
    </row>
    <row r="15" spans="1:26" x14ac:dyDescent="0.2">
      <c r="C15" s="24" t="str">
        <f ca="1">IFERROR(__xludf.DUMMYFUNCTION("""COMPUTED_VALUE"""),"Bungoma")</f>
        <v>Bungoma</v>
      </c>
      <c r="E15" s="2" t="s">
        <v>105</v>
      </c>
      <c r="F15" s="20" t="s">
        <v>231</v>
      </c>
      <c r="G15" s="20" t="s">
        <v>414</v>
      </c>
      <c r="H15" s="20" t="s">
        <v>196</v>
      </c>
      <c r="I15" s="20" t="s">
        <v>147</v>
      </c>
      <c r="J15" s="20" t="s">
        <v>379</v>
      </c>
      <c r="K15" s="20" t="s">
        <v>308</v>
      </c>
      <c r="L15" s="20" t="s">
        <v>412</v>
      </c>
      <c r="M15" s="20" t="s">
        <v>315</v>
      </c>
      <c r="O15" s="2" t="s">
        <v>393</v>
      </c>
    </row>
    <row r="16" spans="1:26" x14ac:dyDescent="0.2">
      <c r="C16" s="28" t="str">
        <f ca="1">IFERROR(__xludf.DUMMYFUNCTION("""COMPUTED_VALUE"""),"Campi-Ya-Kanzi")</f>
        <v>Campi-Ya-Kanzi</v>
      </c>
      <c r="E16" s="20" t="s">
        <v>177</v>
      </c>
      <c r="F16" s="20" t="s">
        <v>232</v>
      </c>
      <c r="G16" s="20" t="s">
        <v>436</v>
      </c>
      <c r="H16" s="20" t="s">
        <v>199</v>
      </c>
      <c r="I16" s="20" t="s">
        <v>165</v>
      </c>
      <c r="J16" s="20" t="s">
        <v>385</v>
      </c>
      <c r="K16" s="20" t="s">
        <v>328</v>
      </c>
      <c r="L16" s="20" t="s">
        <v>441</v>
      </c>
      <c r="M16" s="20" t="s">
        <v>321</v>
      </c>
    </row>
    <row r="17" spans="3:13" x14ac:dyDescent="0.2">
      <c r="C17" s="29" t="str">
        <f ca="1">IFERROR(__xludf.DUMMYFUNCTION("""COMPUTED_VALUE"""),"Chaffa")</f>
        <v>Chaffa</v>
      </c>
      <c r="E17" s="20" t="s">
        <v>305</v>
      </c>
      <c r="F17" s="20" t="s">
        <v>238</v>
      </c>
      <c r="H17" s="20" t="s">
        <v>200</v>
      </c>
      <c r="I17" s="20" t="s">
        <v>226</v>
      </c>
      <c r="K17" s="20" t="s">
        <v>341</v>
      </c>
      <c r="L17" s="2" t="s">
        <v>442</v>
      </c>
      <c r="M17" s="20" t="s">
        <v>336</v>
      </c>
    </row>
    <row r="18" spans="3:13" x14ac:dyDescent="0.2">
      <c r="C18" s="28" t="str">
        <f ca="1">IFERROR(__xludf.DUMMYFUNCTION("""COMPUTED_VALUE"""),"Chyulu-West")</f>
        <v>Chyulu-West</v>
      </c>
      <c r="E18" s="20" t="s">
        <v>343</v>
      </c>
      <c r="F18" s="20" t="s">
        <v>246</v>
      </c>
      <c r="H18" s="20" t="s">
        <v>272</v>
      </c>
      <c r="I18" s="20" t="s">
        <v>274</v>
      </c>
      <c r="K18" s="20" t="s">
        <v>376</v>
      </c>
      <c r="M18" s="20" t="s">
        <v>358</v>
      </c>
    </row>
    <row r="19" spans="3:13" x14ac:dyDescent="0.2">
      <c r="C19" s="27" t="str">
        <f ca="1">IFERROR(__xludf.DUMMYFUNCTION("""COMPUTED_VALUE"""),"Colcheccio Loisaba")</f>
        <v>Colcheccio Loisaba</v>
      </c>
      <c r="E19" s="20" t="s">
        <v>372</v>
      </c>
      <c r="F19" s="20" t="s">
        <v>294</v>
      </c>
      <c r="H19" s="20" t="s">
        <v>281</v>
      </c>
      <c r="I19" s="20" t="s">
        <v>278</v>
      </c>
      <c r="K19" s="20" t="s">
        <v>411</v>
      </c>
      <c r="M19" s="20" t="s">
        <v>386</v>
      </c>
    </row>
    <row r="20" spans="3:13" x14ac:dyDescent="0.2">
      <c r="C20" s="19" t="str">
        <f ca="1">IFERROR(__xludf.DUMMYFUNCTION("""COMPUTED_VALUE"""),"Congrieve")</f>
        <v>Congrieve</v>
      </c>
      <c r="E20" s="20" t="s">
        <v>391</v>
      </c>
      <c r="F20" s="20" t="s">
        <v>298</v>
      </c>
      <c r="H20" s="20" t="s">
        <v>295</v>
      </c>
      <c r="I20" s="20" t="s">
        <v>283</v>
      </c>
      <c r="K20" s="20" t="s">
        <v>420</v>
      </c>
      <c r="M20" s="20" t="s">
        <v>405</v>
      </c>
    </row>
    <row r="21" spans="3:13" x14ac:dyDescent="0.2">
      <c r="C21" s="23" t="str">
        <f ca="1">IFERROR(__xludf.DUMMYFUNCTION("""COMPUTED_VALUE"""),"Cottars Mara 1920's")</f>
        <v>Cottars Mara 1920's</v>
      </c>
      <c r="F21" s="20" t="s">
        <v>300</v>
      </c>
      <c r="H21" s="20" t="s">
        <v>301</v>
      </c>
      <c r="I21" s="20" t="s">
        <v>314</v>
      </c>
      <c r="K21" s="20" t="s">
        <v>435</v>
      </c>
      <c r="M21" s="20" t="s">
        <v>430</v>
      </c>
    </row>
    <row r="22" spans="3:13" x14ac:dyDescent="0.2">
      <c r="C22" s="25" t="str">
        <f ca="1">IFERROR(__xludf.DUMMYFUNCTION("""COMPUTED_VALUE"""),"Crocodile Camp")</f>
        <v>Crocodile Camp</v>
      </c>
      <c r="F22" s="20" t="s">
        <v>304</v>
      </c>
      <c r="H22" s="20" t="s">
        <v>401</v>
      </c>
      <c r="I22" s="20" t="s">
        <v>367</v>
      </c>
      <c r="K22" s="20" t="s">
        <v>437</v>
      </c>
      <c r="M22" s="2" t="s">
        <v>97</v>
      </c>
    </row>
    <row r="23" spans="3:13" x14ac:dyDescent="0.2">
      <c r="C23" s="30" t="str">
        <f ca="1">IFERROR(__xludf.DUMMYFUNCTION("""COMPUTED_VALUE"""),"Dadaab")</f>
        <v>Dadaab</v>
      </c>
      <c r="F23" s="20" t="s">
        <v>309</v>
      </c>
      <c r="H23" s="20" t="s">
        <v>425</v>
      </c>
      <c r="I23" s="20" t="s">
        <v>373</v>
      </c>
      <c r="K23" s="20" t="s">
        <v>438</v>
      </c>
      <c r="M23" s="2" t="s">
        <v>33</v>
      </c>
    </row>
    <row r="24" spans="3:13" x14ac:dyDescent="0.2">
      <c r="C24" s="19" t="str">
        <f ca="1">IFERROR(__xludf.DUMMYFUNCTION("""COMPUTED_VALUE"""),"Delamere-Camp")</f>
        <v>Delamere-Camp</v>
      </c>
      <c r="F24" s="20" t="s">
        <v>318</v>
      </c>
      <c r="H24" s="20" t="s">
        <v>444</v>
      </c>
      <c r="I24" s="20" t="s">
        <v>395</v>
      </c>
      <c r="K24" s="20" t="s">
        <v>455</v>
      </c>
      <c r="M24" s="20" t="s">
        <v>237</v>
      </c>
    </row>
    <row r="25" spans="3:13" x14ac:dyDescent="0.2">
      <c r="C25" s="19" t="str">
        <f ca="1">IFERROR(__xludf.DUMMYFUNCTION("""COMPUTED_VALUE"""),"Delemares")</f>
        <v>Delemares</v>
      </c>
      <c r="F25" s="20" t="s">
        <v>319</v>
      </c>
      <c r="H25" s="20" t="s">
        <v>446</v>
      </c>
      <c r="I25" s="20" t="s">
        <v>407</v>
      </c>
      <c r="K25" s="20" t="s">
        <v>456</v>
      </c>
      <c r="M25" s="20" t="s">
        <v>397</v>
      </c>
    </row>
    <row r="26" spans="3:13" x14ac:dyDescent="0.2">
      <c r="C26" s="25" t="str">
        <f ca="1">IFERROR(__xludf.DUMMYFUNCTION("""COMPUTED_VALUE"""),"DWA Kibwezi")</f>
        <v>DWA Kibwezi</v>
      </c>
      <c r="F26" s="20" t="s">
        <v>326</v>
      </c>
      <c r="H26" s="2" t="s">
        <v>378</v>
      </c>
      <c r="I26" s="20" t="s">
        <v>433</v>
      </c>
      <c r="K26" s="2" t="s">
        <v>256</v>
      </c>
    </row>
    <row r="27" spans="3:13" x14ac:dyDescent="0.2">
      <c r="C27" s="21" t="str">
        <f ca="1">IFERROR(__xludf.DUMMYFUNCTION("""COMPUTED_VALUE"""),"Eilye Springs")</f>
        <v>Eilye Springs</v>
      </c>
      <c r="F27" s="20" t="s">
        <v>337</v>
      </c>
      <c r="I27" s="20" t="s">
        <v>244</v>
      </c>
    </row>
    <row r="28" spans="3:13" x14ac:dyDescent="0.2">
      <c r="C28" s="30" t="str">
        <f ca="1">IFERROR(__xludf.DUMMYFUNCTION("""COMPUTED_VALUE"""),"El Wak")</f>
        <v>El Wak</v>
      </c>
      <c r="F28" s="20" t="s">
        <v>338</v>
      </c>
      <c r="I28" s="20" t="s">
        <v>253</v>
      </c>
    </row>
    <row r="29" spans="3:13" x14ac:dyDescent="0.2">
      <c r="C29" s="24" t="str">
        <f ca="1">IFERROR(__xludf.DUMMYFUNCTION("""COMPUTED_VALUE"""),"Eldoret International ")</f>
        <v xml:space="preserve">Eldoret International </v>
      </c>
      <c r="F29" s="20" t="s">
        <v>342</v>
      </c>
      <c r="I29" s="20" t="s">
        <v>303</v>
      </c>
    </row>
    <row r="30" spans="3:13" x14ac:dyDescent="0.2">
      <c r="C30" s="24" t="str">
        <f ca="1">IFERROR(__xludf.DUMMYFUNCTION("""COMPUTED_VALUE"""),"Eldoret-Town")</f>
        <v>Eldoret-Town</v>
      </c>
      <c r="F30" s="20" t="s">
        <v>344</v>
      </c>
      <c r="I30" s="20" t="s">
        <v>354</v>
      </c>
    </row>
    <row r="31" spans="3:13" x14ac:dyDescent="0.2">
      <c r="C31" s="19" t="str">
        <f ca="1">IFERROR(__xludf.DUMMYFUNCTION("""COMPUTED_VALUE"""),"Elementaita")</f>
        <v>Elementaita</v>
      </c>
      <c r="F31" s="20" t="s">
        <v>345</v>
      </c>
      <c r="I31" s="20" t="s">
        <v>406</v>
      </c>
    </row>
    <row r="32" spans="3:13" x14ac:dyDescent="0.2">
      <c r="C32" s="21" t="str">
        <f ca="1">IFERROR(__xludf.DUMMYFUNCTION("""COMPUTED_VALUE"""),"Eliye-Springs")</f>
        <v>Eliye-Springs</v>
      </c>
      <c r="F32" s="20" t="s">
        <v>346</v>
      </c>
      <c r="I32" s="20" t="s">
        <v>432</v>
      </c>
    </row>
    <row r="33" spans="3:6" x14ac:dyDescent="0.2">
      <c r="C33" s="27" t="str">
        <f ca="1">IFERROR(__xludf.DUMMYFUNCTION("""COMPUTED_VALUE"""),"Elkarama-Ranch")</f>
        <v>Elkarama-Ranch</v>
      </c>
      <c r="F33" s="20" t="s">
        <v>350</v>
      </c>
    </row>
    <row r="34" spans="3:6" x14ac:dyDescent="0.2">
      <c r="C34" s="19" t="str">
        <f ca="1">IFERROR(__xludf.DUMMYFUNCTION("""COMPUTED_VALUE"""),"Elmentaita")</f>
        <v>Elmentaita</v>
      </c>
      <c r="F34" s="20" t="s">
        <v>353</v>
      </c>
    </row>
    <row r="35" spans="3:6" x14ac:dyDescent="0.2">
      <c r="C35" s="27" t="str">
        <f ca="1">IFERROR(__xludf.DUMMYFUNCTION("""COMPUTED_VALUE"""),"Embu")</f>
        <v>Embu</v>
      </c>
      <c r="F35" s="20" t="s">
        <v>369</v>
      </c>
    </row>
    <row r="36" spans="3:6" x14ac:dyDescent="0.2">
      <c r="C36" s="27" t="str">
        <f ca="1">IFERROR(__xludf.DUMMYFUNCTION("""COMPUTED_VALUE"""),"Enasoit")</f>
        <v>Enasoit</v>
      </c>
      <c r="F36" s="20" t="s">
        <v>381</v>
      </c>
    </row>
    <row r="37" spans="3:6" x14ac:dyDescent="0.2">
      <c r="C37" s="27" t="str">
        <f ca="1">IFERROR(__xludf.DUMMYFUNCTION("""COMPUTED_VALUE"""),"Enasoit")</f>
        <v>Enasoit</v>
      </c>
      <c r="F37" s="20" t="s">
        <v>382</v>
      </c>
    </row>
    <row r="38" spans="3:6" x14ac:dyDescent="0.2">
      <c r="C38" s="27" t="str">
        <f ca="1">IFERROR(__xludf.DUMMYFUNCTION("""COMPUTED_VALUE"""),"Engelesha")</f>
        <v>Engelesha</v>
      </c>
      <c r="F38" s="20" t="s">
        <v>383</v>
      </c>
    </row>
    <row r="39" spans="3:6" x14ac:dyDescent="0.2">
      <c r="C39" s="23" t="str">
        <f ca="1">IFERROR(__xludf.DUMMYFUNCTION("""COMPUTED_VALUE"""),"Farmland")</f>
        <v>Farmland</v>
      </c>
      <c r="F39" s="20" t="s">
        <v>388</v>
      </c>
    </row>
    <row r="40" spans="3:6" x14ac:dyDescent="0.2">
      <c r="C40" s="28" t="str">
        <f ca="1">IFERROR(__xludf.DUMMYFUNCTION("""COMPUTED_VALUE"""),"Finch Hattons")</f>
        <v>Finch Hattons</v>
      </c>
      <c r="F40" s="20" t="s">
        <v>399</v>
      </c>
    </row>
    <row r="41" spans="3:6" x14ac:dyDescent="0.2">
      <c r="C41" s="24" t="str">
        <f ca="1">IFERROR(__xludf.DUMMYFUNCTION("""COMPUTED_VALUE"""),"Finley Marinyn Kericho")</f>
        <v>Finley Marinyn Kericho</v>
      </c>
      <c r="F41" s="20" t="s">
        <v>402</v>
      </c>
    </row>
    <row r="42" spans="3:6" x14ac:dyDescent="0.2">
      <c r="C42" s="24" t="str">
        <f ca="1">IFERROR(__xludf.DUMMYFUNCTION("""COMPUTED_VALUE"""),"Flourspar")</f>
        <v>Flourspar</v>
      </c>
      <c r="F42" s="20" t="s">
        <v>404</v>
      </c>
    </row>
    <row r="43" spans="3:6" x14ac:dyDescent="0.2">
      <c r="C43" s="26" t="str">
        <f ca="1">IFERROR(__xludf.DUMMYFUNCTION("""COMPUTED_VALUE"""),"Funzi")</f>
        <v>Funzi</v>
      </c>
      <c r="F43" s="20" t="s">
        <v>408</v>
      </c>
    </row>
    <row r="44" spans="3:6" x14ac:dyDescent="0.2">
      <c r="C44" s="25" t="str">
        <f ca="1">IFERROR(__xludf.DUMMYFUNCTION("""COMPUTED_VALUE"""),"Galdessa")</f>
        <v>Galdessa</v>
      </c>
      <c r="F44" s="20" t="s">
        <v>418</v>
      </c>
    </row>
    <row r="45" spans="3:6" x14ac:dyDescent="0.2">
      <c r="C45" s="30" t="str">
        <f ca="1">IFERROR(__xludf.DUMMYFUNCTION("""COMPUTED_VALUE"""),"Garissa")</f>
        <v>Garissa</v>
      </c>
      <c r="F45" s="20" t="s">
        <v>101</v>
      </c>
    </row>
    <row r="46" spans="3:6" x14ac:dyDescent="0.2">
      <c r="C46" s="30" t="str">
        <f ca="1">IFERROR(__xludf.DUMMYFUNCTION("""COMPUTED_VALUE"""),"Garsen")</f>
        <v>Garsen</v>
      </c>
      <c r="F46" s="20" t="s">
        <v>179</v>
      </c>
    </row>
    <row r="47" spans="3:6" x14ac:dyDescent="0.2">
      <c r="C47" s="19" t="str">
        <f ca="1">IFERROR(__xludf.DUMMYFUNCTION("""COMPUTED_VALUE"""),"Gilgil - Barlows")</f>
        <v>Gilgil - Barlows</v>
      </c>
      <c r="F47" s="20" t="s">
        <v>219</v>
      </c>
    </row>
    <row r="48" spans="3:6" x14ac:dyDescent="0.2">
      <c r="C48" s="19" t="str">
        <f ca="1">IFERROR(__xludf.DUMMYFUNCTION("""COMPUTED_VALUE"""),"Gogar Farm")</f>
        <v>Gogar Farm</v>
      </c>
      <c r="F48" s="20" t="s">
        <v>269</v>
      </c>
    </row>
    <row r="49" spans="3:6" x14ac:dyDescent="0.2">
      <c r="C49" s="19" t="str">
        <f ca="1">IFERROR(__xludf.DUMMYFUNCTION("""COMPUTED_VALUE"""),"Greenpark")</f>
        <v>Greenpark</v>
      </c>
      <c r="F49" s="20" t="s">
        <v>270</v>
      </c>
    </row>
    <row r="50" spans="3:6" x14ac:dyDescent="0.2">
      <c r="C50" s="30" t="str">
        <f ca="1">IFERROR(__xludf.DUMMYFUNCTION("""COMPUTED_VALUE"""),"Habaswein")</f>
        <v>Habaswein</v>
      </c>
      <c r="F50" s="20" t="s">
        <v>288</v>
      </c>
    </row>
    <row r="51" spans="3:6" x14ac:dyDescent="0.2">
      <c r="C51" s="30" t="str">
        <f ca="1">IFERROR(__xludf.DUMMYFUNCTION("""COMPUTED_VALUE"""),"Hola")</f>
        <v>Hola</v>
      </c>
      <c r="F51" s="20" t="s">
        <v>292</v>
      </c>
    </row>
    <row r="52" spans="3:6" x14ac:dyDescent="0.2">
      <c r="C52" s="24" t="str">
        <f ca="1">IFERROR(__xludf.DUMMYFUNCTION("""COMPUTED_VALUE"""),"Homa Bay")</f>
        <v>Homa Bay</v>
      </c>
      <c r="F52" s="20" t="s">
        <v>345</v>
      </c>
    </row>
    <row r="53" spans="3:6" x14ac:dyDescent="0.2">
      <c r="C53" s="27" t="str">
        <f ca="1">IFERROR(__xludf.DUMMYFUNCTION("""COMPUTED_VALUE"""),"Ibis")</f>
        <v>Ibis</v>
      </c>
    </row>
    <row r="54" spans="3:6" x14ac:dyDescent="0.2">
      <c r="C54" s="29" t="str">
        <f ca="1">IFERROR(__xludf.DUMMYFUNCTION("""COMPUTED_VALUE"""),"Ilangwesi")</f>
        <v>Ilangwesi</v>
      </c>
    </row>
    <row r="55" spans="3:6" x14ac:dyDescent="0.2">
      <c r="C55" s="21" t="str">
        <f ca="1">IFERROR(__xludf.DUMMYFUNCTION("""COMPUTED_VALUE"""),"Ileret-Main")</f>
        <v>Ileret-Main</v>
      </c>
    </row>
    <row r="56" spans="3:6" x14ac:dyDescent="0.2">
      <c r="C56" s="29" t="str">
        <f ca="1">IFERROR(__xludf.DUMMYFUNCTION("""COMPUTED_VALUE"""),"Isiolo")</f>
        <v>Isiolo</v>
      </c>
    </row>
    <row r="57" spans="3:6" x14ac:dyDescent="0.2">
      <c r="C57" s="25" t="str">
        <f ca="1">IFERROR(__xludf.DUMMYFUNCTION("""COMPUTED_VALUE"""),"Iskushuban")</f>
        <v>Iskushuban</v>
      </c>
    </row>
    <row r="58" spans="3:6" x14ac:dyDescent="0.2">
      <c r="C58" s="25" t="str">
        <f ca="1">IFERROR(__xludf.DUMMYFUNCTION("""COMPUTED_VALUE"""),"Ithumba")</f>
        <v>Ithumba</v>
      </c>
    </row>
    <row r="59" spans="3:6" x14ac:dyDescent="0.2">
      <c r="C59" s="19" t="str">
        <f ca="1">IFERROR(__xludf.DUMMYFUNCTION("""COMPUTED_VALUE"""),"Kabarak")</f>
        <v>Kabarak</v>
      </c>
    </row>
    <row r="60" spans="3:6" x14ac:dyDescent="0.2">
      <c r="C60" s="19" t="str">
        <f ca="1">IFERROR(__xludf.DUMMYFUNCTION("""COMPUTED_VALUE"""),"Kabarnet")</f>
        <v>Kabarnet</v>
      </c>
    </row>
    <row r="61" spans="3:6" x14ac:dyDescent="0.2">
      <c r="C61" s="24" t="str">
        <f ca="1">IFERROR(__xludf.DUMMYFUNCTION("""COMPUTED_VALUE"""),"Kakamega")</f>
        <v>Kakamega</v>
      </c>
    </row>
    <row r="62" spans="3:6" x14ac:dyDescent="0.2">
      <c r="C62" s="21" t="str">
        <f ca="1">IFERROR(__xludf.DUMMYFUNCTION("""COMPUTED_VALUE"""),"Kakuma")</f>
        <v>Kakuma</v>
      </c>
    </row>
    <row r="63" spans="3:6" x14ac:dyDescent="0.2">
      <c r="C63" s="21" t="str">
        <f ca="1">IFERROR(__xludf.DUMMYFUNCTION("""COMPUTED_VALUE"""),"Kalacha south")</f>
        <v>Kalacha south</v>
      </c>
    </row>
    <row r="64" spans="3:6" x14ac:dyDescent="0.2">
      <c r="C64" s="29" t="str">
        <f ca="1">IFERROR(__xludf.DUMMYFUNCTION("""COMPUTED_VALUE"""),"Kalama")</f>
        <v>Kalama</v>
      </c>
    </row>
    <row r="65" spans="3:3" x14ac:dyDescent="0.2">
      <c r="C65" s="25" t="str">
        <f ca="1">IFERROR(__xludf.DUMMYFUNCTION("""COMPUTED_VALUE"""),"Kaluku")</f>
        <v>Kaluku</v>
      </c>
    </row>
    <row r="66" spans="3:3" x14ac:dyDescent="0.2">
      <c r="C66" s="29" t="str">
        <f ca="1">IFERROR(__xludf.DUMMYFUNCTION("""COMPUTED_VALUE"""),"Kamanga")</f>
        <v>Kamanga</v>
      </c>
    </row>
    <row r="67" spans="3:3" x14ac:dyDescent="0.2">
      <c r="C67" s="28" t="str">
        <f ca="1">IFERROR(__xludf.DUMMYFUNCTION("""COMPUTED_VALUE"""),"Kamboyo")</f>
        <v>Kamboyo</v>
      </c>
    </row>
    <row r="68" spans="3:3" x14ac:dyDescent="0.2">
      <c r="C68" s="27" t="str">
        <f ca="1">IFERROR(__xludf.DUMMYFUNCTION("""COMPUTED_VALUE"""),"Kamogi")</f>
        <v>Kamogi</v>
      </c>
    </row>
    <row r="69" spans="3:3" x14ac:dyDescent="0.2">
      <c r="C69" s="28" t="str">
        <f ca="1">IFERROR(__xludf.DUMMYFUNCTION("""COMPUTED_VALUE"""),"Kampi Ya Kanzi")</f>
        <v>Kampi Ya Kanzi</v>
      </c>
    </row>
    <row r="70" spans="3:3" x14ac:dyDescent="0.2">
      <c r="C70" s="27" t="str">
        <f ca="1">IFERROR(__xludf.DUMMYFUNCTION("""COMPUTED_VALUE"""),"Kamwaki Ole Naishu")</f>
        <v>Kamwaki Ole Naishu</v>
      </c>
    </row>
    <row r="71" spans="3:3" x14ac:dyDescent="0.2">
      <c r="C71" s="19" t="str">
        <f ca="1">IFERROR(__xludf.DUMMYFUNCTION("""COMPUTED_VALUE"""),"Kapese")</f>
        <v>Kapese</v>
      </c>
    </row>
    <row r="72" spans="3:3" x14ac:dyDescent="0.2">
      <c r="C72" s="24" t="str">
        <f ca="1">IFERROR(__xludf.DUMMYFUNCTION("""COMPUTED_VALUE"""),"Kapsabet")</f>
        <v>Kapsabet</v>
      </c>
    </row>
    <row r="73" spans="3:3" x14ac:dyDescent="0.2">
      <c r="C73" s="24" t="str">
        <f ca="1">IFERROR(__xludf.DUMMYFUNCTION("""COMPUTED_VALUE"""),"Kapsambewea")</f>
        <v>Kapsambewea</v>
      </c>
    </row>
    <row r="74" spans="3:3" x14ac:dyDescent="0.2">
      <c r="C74" s="23" t="str">
        <f ca="1">IFERROR(__xludf.DUMMYFUNCTION("""COMPUTED_VALUE"""),"Keekerok")</f>
        <v>Keekerok</v>
      </c>
    </row>
    <row r="75" spans="3:3" x14ac:dyDescent="0.2">
      <c r="C75" s="24" t="str">
        <f ca="1">IFERROR(__xludf.DUMMYFUNCTION("""COMPUTED_VALUE"""),"Kericho Marinyn")</f>
        <v>Kericho Marinyn</v>
      </c>
    </row>
    <row r="76" spans="3:3" x14ac:dyDescent="0.2">
      <c r="C76" s="30" t="str">
        <f ca="1">IFERROR(__xludf.DUMMYFUNCTION("""COMPUTED_VALUE"""),"Khoraf Harar")</f>
        <v>Khoraf Harar</v>
      </c>
    </row>
    <row r="77" spans="3:3" x14ac:dyDescent="0.2">
      <c r="C77" s="23" t="str">
        <f ca="1">IFERROR(__xludf.DUMMYFUNCTION("""COMPUTED_VALUE"""),"Kichwa Tembo")</f>
        <v>Kichwa Tembo</v>
      </c>
    </row>
    <row r="78" spans="3:3" x14ac:dyDescent="0.2">
      <c r="C78" s="27" t="str">
        <f ca="1">IFERROR(__xludf.DUMMYFUNCTION("""COMPUTED_VALUE"""),"Kifuku Estate")</f>
        <v>Kifuku Estate</v>
      </c>
    </row>
    <row r="79" spans="3:3" x14ac:dyDescent="0.2">
      <c r="C79" s="26" t="str">
        <f ca="1">IFERROR(__xludf.DUMMYFUNCTION("""COMPUTED_VALUE"""),"Kijipwa")</f>
        <v>Kijipwa</v>
      </c>
    </row>
    <row r="80" spans="3:3" x14ac:dyDescent="0.2">
      <c r="C80" s="25" t="str">
        <f ca="1">IFERROR(__xludf.DUMMYFUNCTION("""COMPUTED_VALUE"""),"Kilalinda")</f>
        <v>Kilalinda</v>
      </c>
    </row>
    <row r="81" spans="3:3" x14ac:dyDescent="0.2">
      <c r="C81" s="28" t="str">
        <f ca="1">IFERROR(__xludf.DUMMYFUNCTION("""COMPUTED_VALUE"""),"Kilanguni")</f>
        <v>Kilanguni</v>
      </c>
    </row>
    <row r="82" spans="3:3" x14ac:dyDescent="0.2">
      <c r="C82" s="28" t="str">
        <f ca="1">IFERROR(__xludf.DUMMYFUNCTION("""COMPUTED_VALUE"""),"Kili-Buffalo")</f>
        <v>Kili-Buffalo</v>
      </c>
    </row>
    <row r="83" spans="3:3" x14ac:dyDescent="0.2">
      <c r="C83" s="26" t="str">
        <f ca="1">IFERROR(__xludf.DUMMYFUNCTION("""COMPUTED_VALUE"""),"Kilifi-Mnarani")</f>
        <v>Kilifi-Mnarani</v>
      </c>
    </row>
    <row r="84" spans="3:3" x14ac:dyDescent="0.2">
      <c r="C84" s="22" t="str">
        <f ca="1">IFERROR(__xludf.DUMMYFUNCTION("""COMPUTED_VALUE"""),"Kimana")</f>
        <v>Kimana</v>
      </c>
    </row>
    <row r="85" spans="3:3" x14ac:dyDescent="0.2">
      <c r="C85" s="27" t="str">
        <f ca="1">IFERROR(__xludf.DUMMYFUNCTION("""COMPUTED_VALUE"""),"Kimanju/ Ole Lendille")</f>
        <v>Kimanju/ Ole Lendille</v>
      </c>
    </row>
    <row r="86" spans="3:3" x14ac:dyDescent="0.2">
      <c r="C86" s="27" t="str">
        <f ca="1">IFERROR(__xludf.DUMMYFUNCTION("""COMPUTED_VALUE"""),"Kinna")</f>
        <v>Kinna</v>
      </c>
    </row>
    <row r="87" spans="3:3" x14ac:dyDescent="0.2">
      <c r="C87" s="24" t="str">
        <f ca="1">IFERROR(__xludf.DUMMYFUNCTION("""COMPUTED_VALUE"""),"Kisii Suneka")</f>
        <v>Kisii Suneka</v>
      </c>
    </row>
    <row r="88" spans="3:3" x14ac:dyDescent="0.2">
      <c r="C88" s="27" t="str">
        <f ca="1">IFERROR(__xludf.DUMMYFUNCTION("""COMPUTED_VALUE"""),"Kisima Timau")</f>
        <v>Kisima Timau</v>
      </c>
    </row>
    <row r="89" spans="3:3" x14ac:dyDescent="0.2">
      <c r="C89" s="24" t="str">
        <f ca="1">IFERROR(__xludf.DUMMYFUNCTION("""COMPUTED_VALUE"""),"Kisumu International")</f>
        <v>Kisumu International</v>
      </c>
    </row>
    <row r="90" spans="3:3" x14ac:dyDescent="0.2">
      <c r="C90" s="24" t="str">
        <f ca="1">IFERROR(__xludf.DUMMYFUNCTION("""COMPUTED_VALUE"""),"Kitale")</f>
        <v>Kitale</v>
      </c>
    </row>
    <row r="91" spans="3:3" x14ac:dyDescent="0.2">
      <c r="C91" s="28" t="str">
        <f ca="1">IFERROR(__xludf.DUMMYFUNCTION("""COMPUTED_VALUE"""),"Kithaysu Umani Springs")</f>
        <v>Kithaysu Umani Springs</v>
      </c>
    </row>
    <row r="92" spans="3:3" x14ac:dyDescent="0.2">
      <c r="C92" s="29" t="str">
        <f ca="1">IFERROR(__xludf.DUMMYFUNCTION("""COMPUTED_VALUE"""),"Kitich Camp")</f>
        <v>Kitich Camp</v>
      </c>
    </row>
    <row r="93" spans="3:3" x14ac:dyDescent="0.2">
      <c r="C93" s="30" t="str">
        <f ca="1">IFERROR(__xludf.DUMMYFUNCTION("""COMPUTED_VALUE"""),"Kitui")</f>
        <v>Kitui</v>
      </c>
    </row>
    <row r="94" spans="3:3" x14ac:dyDescent="0.2">
      <c r="C94" s="26" t="str">
        <f ca="1">IFERROR(__xludf.DUMMYFUNCTION("""COMPUTED_VALUE"""),"Kiwayu")</f>
        <v>Kiwayu</v>
      </c>
    </row>
    <row r="95" spans="3:3" x14ac:dyDescent="0.2">
      <c r="C95" s="27" t="str">
        <f ca="1">IFERROR(__xludf.DUMMYFUNCTION("""COMPUTED_VALUE"""),"Komok")</f>
        <v>Komok</v>
      </c>
    </row>
    <row r="96" spans="3:3" x14ac:dyDescent="0.2">
      <c r="C96" s="21" t="str">
        <f ca="1">IFERROR(__xludf.DUMMYFUNCTION("""COMPUTED_VALUE"""),"Koobi Fora")</f>
        <v>Koobi Fora</v>
      </c>
    </row>
    <row r="97" spans="3:3" x14ac:dyDescent="0.2">
      <c r="C97" s="27" t="str">
        <f ca="1">IFERROR(__xludf.DUMMYFUNCTION("""COMPUTED_VALUE"""),"Kora")</f>
        <v>Kora</v>
      </c>
    </row>
    <row r="98" spans="3:3" x14ac:dyDescent="0.2">
      <c r="C98" s="21" t="str">
        <f ca="1">IFERROR(__xludf.DUMMYFUNCTION("""COMPUTED_VALUE"""),"Koros use Sedar?")</f>
        <v>Koros use Sedar?</v>
      </c>
    </row>
    <row r="99" spans="3:3" x14ac:dyDescent="0.2">
      <c r="C99" s="21" t="str">
        <f ca="1">IFERROR(__xludf.DUMMYFUNCTION("""COMPUTED_VALUE"""),"Kowop")</f>
        <v>Kowop</v>
      </c>
    </row>
    <row r="100" spans="3:3" x14ac:dyDescent="0.2">
      <c r="C100" s="25" t="str">
        <f ca="1">IFERROR(__xludf.DUMMYFUNCTION("""COMPUTED_VALUE"""),"Kulalu")</f>
        <v>Kulalu</v>
      </c>
    </row>
    <row r="101" spans="3:3" x14ac:dyDescent="0.2">
      <c r="C101" s="27" t="str">
        <f ca="1">IFERROR(__xludf.DUMMYFUNCTION("""COMPUTED_VALUE"""),"Kuti")</f>
        <v>Kuti</v>
      </c>
    </row>
    <row r="102" spans="3:3" x14ac:dyDescent="0.2">
      <c r="C102" s="27" t="str">
        <f ca="1">IFERROR(__xludf.DUMMYFUNCTION("""COMPUTED_VALUE"""),"Laikipia Ranch")</f>
        <v>Laikipia Ranch</v>
      </c>
    </row>
    <row r="103" spans="3:3" x14ac:dyDescent="0.2">
      <c r="C103" s="28" t="str">
        <f ca="1">IFERROR(__xludf.DUMMYFUNCTION("""COMPUTED_VALUE"""),"Lake Jipe")</f>
        <v>Lake Jipe</v>
      </c>
    </row>
    <row r="104" spans="3:3" x14ac:dyDescent="0.2">
      <c r="C104" s="26" t="str">
        <f ca="1">IFERROR(__xludf.DUMMYFUNCTION("""COMPUTED_VALUE"""),"Lamu")</f>
        <v>Lamu</v>
      </c>
    </row>
    <row r="105" spans="3:3" x14ac:dyDescent="0.2">
      <c r="C105" s="26" t="str">
        <f ca="1">IFERROR(__xludf.DUMMYFUNCTION("""COMPUTED_VALUE"""),"Lamu Manda Point ")</f>
        <v xml:space="preserve">Lamu Manda Point </v>
      </c>
    </row>
    <row r="106" spans="3:3" x14ac:dyDescent="0.2">
      <c r="C106" s="19" t="str">
        <f ca="1">IFERROR(__xludf.DUMMYFUNCTION("""COMPUTED_VALUE"""),"Lanet-Prairies")</f>
        <v>Lanet-Prairies</v>
      </c>
    </row>
    <row r="107" spans="3:3" x14ac:dyDescent="0.2">
      <c r="C107" s="27" t="str">
        <f ca="1">IFERROR(__xludf.DUMMYFUNCTION("""COMPUTED_VALUE"""),"Lendille Kimanju")</f>
        <v>Lendille Kimanju</v>
      </c>
    </row>
    <row r="108" spans="3:3" x14ac:dyDescent="0.2">
      <c r="C108" s="27" t="str">
        <f ca="1">IFERROR(__xludf.DUMMYFUNCTION("""COMPUTED_VALUE"""),"Lewa Downs")</f>
        <v>Lewa Downs</v>
      </c>
    </row>
    <row r="109" spans="3:3" x14ac:dyDescent="0.2">
      <c r="C109" s="30" t="str">
        <f ca="1">IFERROR(__xludf.DUMMYFUNCTION("""COMPUTED_VALUE"""),"Liboi")</f>
        <v>Liboi</v>
      </c>
    </row>
    <row r="110" spans="3:3" x14ac:dyDescent="0.2">
      <c r="C110" s="21" t="str">
        <f ca="1">IFERROR(__xludf.DUMMYFUNCTION("""COMPUTED_VALUE"""),"Lodwar")</f>
        <v>Lodwar</v>
      </c>
    </row>
    <row r="111" spans="3:3" x14ac:dyDescent="0.2">
      <c r="C111" s="27" t="str">
        <f ca="1">IFERROR(__xludf.DUMMYFUNCTION("""COMPUTED_VALUE"""),"Loisaba")</f>
        <v>Loisaba</v>
      </c>
    </row>
    <row r="112" spans="3:3" x14ac:dyDescent="0.2">
      <c r="C112" s="28" t="str">
        <f ca="1">IFERROR(__xludf.DUMMYFUNCTION("""COMPUTED_VALUE"""),"Loitokitok")</f>
        <v>Loitokitok</v>
      </c>
    </row>
    <row r="113" spans="3:3" x14ac:dyDescent="0.2">
      <c r="C113" s="21" t="str">
        <f ca="1">IFERROR(__xludf.DUMMYFUNCTION("""COMPUTED_VALUE"""),"Loiyangalani")</f>
        <v>Loiyangalani</v>
      </c>
    </row>
    <row r="114" spans="3:3" x14ac:dyDescent="0.2">
      <c r="C114" s="21" t="str">
        <f ca="1">IFERROR(__xludf.DUMMYFUNCTION("""COMPUTED_VALUE"""),"Lokichar")</f>
        <v>Lokichar</v>
      </c>
    </row>
    <row r="115" spans="3:3" x14ac:dyDescent="0.2">
      <c r="C115" s="21" t="str">
        <f ca="1">IFERROR(__xludf.DUMMYFUNCTION("""COMPUTED_VALUE"""),"Lokichoggio International")</f>
        <v>Lokichoggio International</v>
      </c>
    </row>
    <row r="116" spans="3:3" x14ac:dyDescent="0.2">
      <c r="C116" s="21" t="str">
        <f ca="1">IFERROR(__xludf.DUMMYFUNCTION("""COMPUTED_VALUE"""),"Lokitaung")</f>
        <v>Lokitaung</v>
      </c>
    </row>
    <row r="117" spans="3:3" x14ac:dyDescent="0.2">
      <c r="C117" s="31" t="str">
        <f ca="1">IFERROR(__xludf.DUMMYFUNCTION("""COMPUTED_VALUE"""),"Loldia")</f>
        <v>Loldia</v>
      </c>
    </row>
    <row r="118" spans="3:3" x14ac:dyDescent="0.2">
      <c r="C118" s="27" t="str">
        <f ca="1">IFERROR(__xludf.DUMMYFUNCTION("""COMPUTED_VALUE"""),"Lolomarik")</f>
        <v>Lolomarik</v>
      </c>
    </row>
    <row r="119" spans="3:3" x14ac:dyDescent="0.2">
      <c r="C119" s="25" t="str">
        <f ca="1">IFERROR(__xludf.DUMMYFUNCTION("""COMPUTED_VALUE"""),"Lugards-Falls South")</f>
        <v>Lugards-Falls South</v>
      </c>
    </row>
    <row r="120" spans="3:3" x14ac:dyDescent="0.2">
      <c r="C120" s="31" t="str">
        <f ca="1">IFERROR(__xludf.DUMMYFUNCTION("""COMPUTED_VALUE"""),"Magadi")</f>
        <v>Magadi</v>
      </c>
    </row>
    <row r="121" spans="3:3" x14ac:dyDescent="0.2">
      <c r="C121" s="26" t="str">
        <f ca="1">IFERROR(__xludf.DUMMYFUNCTION("""COMPUTED_VALUE"""),"Magogoni (NAVY)")</f>
        <v>Magogoni (NAVY)</v>
      </c>
    </row>
    <row r="122" spans="3:3" x14ac:dyDescent="0.2">
      <c r="C122" s="28" t="str">
        <f ca="1">IFERROR(__xludf.DUMMYFUNCTION("""COMPUTED_VALUE"""),"Makindu")</f>
        <v>Makindu</v>
      </c>
    </row>
    <row r="123" spans="3:3" x14ac:dyDescent="0.2">
      <c r="C123" s="28" t="str">
        <f ca="1">IFERROR(__xludf.DUMMYFUNCTION("""COMPUTED_VALUE"""),"Maktau Gate")</f>
        <v>Maktau Gate</v>
      </c>
    </row>
    <row r="124" spans="3:3" x14ac:dyDescent="0.2">
      <c r="C124" s="2" t="str">
        <f ca="1">IFERROR(__xludf.DUMMYFUNCTION("""COMPUTED_VALUE"""),"Malinda")</f>
        <v>Malinda</v>
      </c>
    </row>
    <row r="125" spans="3:3" x14ac:dyDescent="0.2">
      <c r="C125" s="26" t="str">
        <f ca="1">IFERROR(__xludf.DUMMYFUNCTION("""COMPUTED_VALUE"""),"Malindi International")</f>
        <v>Malindi International</v>
      </c>
    </row>
    <row r="126" spans="3:3" x14ac:dyDescent="0.2">
      <c r="C126" s="26" t="str">
        <f ca="1">IFERROR(__xludf.DUMMYFUNCTION("""COMPUTED_VALUE"""),"Manda Point")</f>
        <v>Manda Point</v>
      </c>
    </row>
    <row r="127" spans="3:3" x14ac:dyDescent="0.2">
      <c r="C127" s="30" t="str">
        <f ca="1">IFERROR(__xludf.DUMMYFUNCTION("""COMPUTED_VALUE"""),"Mandera")</f>
        <v>Mandera</v>
      </c>
    </row>
    <row r="128" spans="3:3" x14ac:dyDescent="0.2">
      <c r="C128" s="28" t="str">
        <f ca="1">IFERROR(__xludf.DUMMYFUNCTION("""COMPUTED_VALUE"""),"Manyani")</f>
        <v>Manyani</v>
      </c>
    </row>
    <row r="129" spans="3:3" x14ac:dyDescent="0.2">
      <c r="C129" s="23" t="str">
        <f ca="1">IFERROR(__xludf.DUMMYFUNCTION("""COMPUTED_VALUE"""),"Mara North")</f>
        <v>Mara North</v>
      </c>
    </row>
    <row r="130" spans="3:3" x14ac:dyDescent="0.2">
      <c r="C130" s="23" t="str">
        <f ca="1">IFERROR(__xludf.DUMMYFUNCTION("""COMPUTED_VALUE"""),"Mara Serena ")</f>
        <v xml:space="preserve">Mara Serena </v>
      </c>
    </row>
    <row r="131" spans="3:3" x14ac:dyDescent="0.2">
      <c r="C131" s="23" t="str">
        <f ca="1">IFERROR(__xludf.DUMMYFUNCTION("""COMPUTED_VALUE"""),"Mara Shikar")</f>
        <v>Mara Shikar</v>
      </c>
    </row>
    <row r="132" spans="3:3" x14ac:dyDescent="0.2">
      <c r="C132" s="27" t="str">
        <f ca="1">IFERROR(__xludf.DUMMYFUNCTION("""COMPUTED_VALUE"""),"Maralal Kisima")</f>
        <v>Maralal Kisima</v>
      </c>
    </row>
    <row r="133" spans="3:3" x14ac:dyDescent="0.2">
      <c r="C133" s="27" t="str">
        <f ca="1">IFERROR(__xludf.DUMMYFUNCTION("""COMPUTED_VALUE"""),"Marania")</f>
        <v>Marania</v>
      </c>
    </row>
    <row r="134" spans="3:3" x14ac:dyDescent="0.2">
      <c r="C134" s="24" t="str">
        <f ca="1">IFERROR(__xludf.DUMMYFUNCTION("""COMPUTED_VALUE"""),"Marinyn")</f>
        <v>Marinyn</v>
      </c>
    </row>
    <row r="135" spans="3:3" x14ac:dyDescent="0.2">
      <c r="C135" s="29" t="str">
        <f ca="1">IFERROR(__xludf.DUMMYFUNCTION("""COMPUTED_VALUE"""),"Marsabit")</f>
        <v>Marsabit</v>
      </c>
    </row>
    <row r="136" spans="3:3" x14ac:dyDescent="0.2">
      <c r="C136" s="19" t="str">
        <f ca="1">IFERROR(__xludf.DUMMYFUNCTION("""COMPUTED_VALUE"""),"Mbaruk")</f>
        <v>Mbaruk</v>
      </c>
    </row>
    <row r="137" spans="3:3" x14ac:dyDescent="0.2">
      <c r="C137" s="22" t="str">
        <f ca="1">IFERROR(__xludf.DUMMYFUNCTION("""COMPUTED_VALUE"""),"Mbirikani")</f>
        <v>Mbirikani</v>
      </c>
    </row>
    <row r="138" spans="3:3" x14ac:dyDescent="0.2">
      <c r="C138" s="19" t="str">
        <f ca="1">IFERROR(__xludf.DUMMYFUNCTION("""COMPUTED_VALUE"""),"Menengai")</f>
        <v>Menengai</v>
      </c>
    </row>
    <row r="139" spans="3:3" x14ac:dyDescent="0.2">
      <c r="C139" s="27" t="str">
        <f ca="1">IFERROR(__xludf.DUMMYFUNCTION("""COMPUTED_VALUE"""),"Meru Kinna")</f>
        <v>Meru Kinna</v>
      </c>
    </row>
    <row r="140" spans="3:3" x14ac:dyDescent="0.2">
      <c r="C140" s="27" t="str">
        <f ca="1">IFERROR(__xludf.DUMMYFUNCTION("""COMPUTED_VALUE"""),"Meru-Mulika lodge")</f>
        <v>Meru-Mulika lodge</v>
      </c>
    </row>
    <row r="141" spans="3:3" x14ac:dyDescent="0.2">
      <c r="C141" s="24" t="str">
        <f ca="1">IFERROR(__xludf.DUMMYFUNCTION("""COMPUTED_VALUE"""),"Migori")</f>
        <v>Migori</v>
      </c>
    </row>
    <row r="142" spans="3:3" x14ac:dyDescent="0.2">
      <c r="C142" s="29" t="str">
        <f ca="1">IFERROR(__xludf.DUMMYFUNCTION("""COMPUTED_VALUE"""),"Milgis")</f>
        <v>Milgis</v>
      </c>
    </row>
    <row r="143" spans="3:3" x14ac:dyDescent="0.2">
      <c r="C143" s="19" t="str">
        <f ca="1">IFERROR(__xludf.DUMMYFUNCTION("""COMPUTED_VALUE"""),"Milmet")</f>
        <v>Milmet</v>
      </c>
    </row>
    <row r="144" spans="3:3" x14ac:dyDescent="0.2">
      <c r="C144" s="26" t="str">
        <f ca="1">IFERROR(__xludf.DUMMYFUNCTION("""COMPUTED_VALUE"""),"Mkowe Lamu Mainland")</f>
        <v>Mkowe Lamu Mainland</v>
      </c>
    </row>
    <row r="145" spans="3:3" x14ac:dyDescent="0.2">
      <c r="C145" s="27" t="str">
        <f ca="1">IFERROR(__xludf.DUMMYFUNCTION("""COMPUTED_VALUE"""),"Mogwooni")</f>
        <v>Mogwooni</v>
      </c>
    </row>
    <row r="146" spans="3:3" x14ac:dyDescent="0.2">
      <c r="C146" s="26" t="str">
        <f ca="1">IFERROR(__xludf.DUMMYFUNCTION("""COMPUTED_VALUE"""),"Mombasa International")</f>
        <v>Mombasa International</v>
      </c>
    </row>
    <row r="147" spans="3:3" x14ac:dyDescent="0.2">
      <c r="C147" s="27" t="str">
        <f ca="1">IFERROR(__xludf.DUMMYFUNCTION("""COMPUTED_VALUE"""),"Mount Kenya Safari Club")</f>
        <v>Mount Kenya Safari Club</v>
      </c>
    </row>
    <row r="148" spans="3:3" x14ac:dyDescent="0.2">
      <c r="C148" s="30" t="str">
        <f ca="1">IFERROR(__xludf.DUMMYFUNCTION("""COMPUTED_VALUE"""),"Moyale Lower")</f>
        <v>Moyale Lower</v>
      </c>
    </row>
    <row r="149" spans="3:3" x14ac:dyDescent="0.2">
      <c r="C149" s="27" t="str">
        <f ca="1">IFERROR(__xludf.DUMMYFUNCTION("""COMPUTED_VALUE"""),"Mpala Farm")</f>
        <v>Mpala Farm</v>
      </c>
    </row>
    <row r="150" spans="3:3" x14ac:dyDescent="0.2">
      <c r="C150" s="24" t="str">
        <f ca="1">IFERROR(__xludf.DUMMYFUNCTION("""COMPUTED_VALUE"""),"Mt Elgon Orchard")</f>
        <v>Mt Elgon Orchard</v>
      </c>
    </row>
    <row r="151" spans="3:3" x14ac:dyDescent="0.2">
      <c r="C151" s="25" t="str">
        <f ca="1">IFERROR(__xludf.DUMMYFUNCTION("""COMPUTED_VALUE"""),"Mtito Andei")</f>
        <v>Mtito Andei</v>
      </c>
    </row>
    <row r="152" spans="3:3" x14ac:dyDescent="0.2">
      <c r="C152" s="27" t="str">
        <f ca="1">IFERROR(__xludf.DUMMYFUNCTION("""COMPUTED_VALUE"""),"Mugie")</f>
        <v>Mugie</v>
      </c>
    </row>
    <row r="153" spans="3:3" x14ac:dyDescent="0.2">
      <c r="C153" s="27" t="str">
        <f ca="1">IFERROR(__xludf.DUMMYFUNCTION("""COMPUTED_VALUE"""),"Mugwangho Elsas Kjopie")</f>
        <v>Mugwangho Elsas Kjopie</v>
      </c>
    </row>
    <row r="154" spans="3:3" x14ac:dyDescent="0.2">
      <c r="C154" s="27" t="str">
        <f ca="1">IFERROR(__xludf.DUMMYFUNCTION("""COMPUTED_VALUE"""),"Mukatan")</f>
        <v>Mukatan</v>
      </c>
    </row>
    <row r="155" spans="3:3" x14ac:dyDescent="0.2">
      <c r="C155" s="24" t="str">
        <f ca="1">IFERROR(__xludf.DUMMYFUNCTION("""COMPUTED_VALUE"""),"Mumias")</f>
        <v>Mumias</v>
      </c>
    </row>
    <row r="156" spans="3:3" x14ac:dyDescent="0.2">
      <c r="C156" s="31" t="str">
        <f ca="1">IFERROR(__xludf.DUMMYFUNCTION("""COMPUTED_VALUE"""),"Mundui")</f>
        <v>Mundui</v>
      </c>
    </row>
    <row r="157" spans="3:3" x14ac:dyDescent="0.2">
      <c r="C157" s="27" t="str">
        <f ca="1">IFERROR(__xludf.DUMMYFUNCTION("""COMPUTED_VALUE"""),"Muridjo Ol Malo")</f>
        <v>Muridjo Ol Malo</v>
      </c>
    </row>
    <row r="158" spans="3:3" x14ac:dyDescent="0.2">
      <c r="C158" s="23" t="str">
        <f ca="1">IFERROR(__xludf.DUMMYFUNCTION("""COMPUTED_VALUE"""),"Musiara")</f>
        <v>Musiara</v>
      </c>
    </row>
    <row r="159" spans="3:3" x14ac:dyDescent="0.2">
      <c r="C159" s="28" t="str">
        <f ca="1">IFERROR(__xludf.DUMMYFUNCTION("""COMPUTED_VALUE"""),"Mwatate")</f>
        <v>Mwatate</v>
      </c>
    </row>
    <row r="160" spans="3:3" x14ac:dyDescent="0.2">
      <c r="C160" s="27" t="str">
        <f ca="1">IFERROR(__xludf.DUMMYFUNCTION("""COMPUTED_VALUE"""),"Mweiga")</f>
        <v>Mweiga</v>
      </c>
    </row>
    <row r="161" spans="3:3" x14ac:dyDescent="0.2">
      <c r="C161" s="29" t="str">
        <f ca="1">IFERROR(__xludf.DUMMYFUNCTION("""COMPUTED_VALUE"""),"Nairobi Jomo Kenyatta International")</f>
        <v>Nairobi Jomo Kenyatta International</v>
      </c>
    </row>
    <row r="162" spans="3:3" x14ac:dyDescent="0.2">
      <c r="C162" s="29" t="str">
        <f ca="1">IFERROR(__xludf.DUMMYFUNCTION("""COMPUTED_VALUE"""),"Nairobi Wilson International")</f>
        <v>Nairobi Wilson International</v>
      </c>
    </row>
    <row r="163" spans="3:3" x14ac:dyDescent="0.2">
      <c r="C163" s="19" t="str">
        <f ca="1">IFERROR(__xludf.DUMMYFUNCTION("""COMPUTED_VALUE"""),"Naishi")</f>
        <v>Naishi</v>
      </c>
    </row>
    <row r="164" spans="3:3" x14ac:dyDescent="0.2">
      <c r="C164" s="21" t="str">
        <f ca="1">IFERROR(__xludf.DUMMYFUNCTION("""COMPUTED_VALUE"""),"Nakechickok")</f>
        <v>Nakechickok</v>
      </c>
    </row>
    <row r="165" spans="3:3" x14ac:dyDescent="0.2">
      <c r="C165" s="22" t="str">
        <f ca="1">IFERROR(__xludf.DUMMYFUNCTION("""COMPUTED_VALUE"""),"Namanga")</f>
        <v>Namanga</v>
      </c>
    </row>
    <row r="166" spans="3:3" x14ac:dyDescent="0.2">
      <c r="C166" s="27" t="str">
        <f ca="1">IFERROR(__xludf.DUMMYFUNCTION("""COMPUTED_VALUE"""),"Namunyak")</f>
        <v>Namunyak</v>
      </c>
    </row>
    <row r="167" spans="3:3" x14ac:dyDescent="0.2">
      <c r="C167" s="27" t="str">
        <f ca="1">IFERROR(__xludf.DUMMYFUNCTION("""COMPUTED_VALUE"""),"Nanyuki Civil")</f>
        <v>Nanyuki Civil</v>
      </c>
    </row>
    <row r="168" spans="3:3" x14ac:dyDescent="0.2">
      <c r="C168" s="21" t="str">
        <f ca="1">IFERROR(__xludf.DUMMYFUNCTION("""COMPUTED_VALUE"""),"Nariokotome")</f>
        <v>Nariokotome</v>
      </c>
    </row>
    <row r="169" spans="3:3" x14ac:dyDescent="0.2">
      <c r="C169" s="23" t="str">
        <f ca="1">IFERROR(__xludf.DUMMYFUNCTION("""COMPUTED_VALUE"""),"Ngerende KE")</f>
        <v>Ngerende KE</v>
      </c>
    </row>
    <row r="170" spans="3:3" x14ac:dyDescent="0.2">
      <c r="C170" s="27" t="str">
        <f ca="1">IFERROR(__xludf.DUMMYFUNCTION("""COMPUTED_VALUE"""),"Ngorinit-South")</f>
        <v>Ngorinit-South</v>
      </c>
    </row>
    <row r="171" spans="3:3" x14ac:dyDescent="0.2">
      <c r="C171" s="28" t="str">
        <f ca="1">IFERROR(__xludf.DUMMYFUNCTION("""COMPUTED_VALUE"""),"Ngulia")</f>
        <v>Ngulia</v>
      </c>
    </row>
    <row r="172" spans="3:3" x14ac:dyDescent="0.2">
      <c r="C172" s="23" t="str">
        <f ca="1">IFERROR(__xludf.DUMMYFUNCTION("""COMPUTED_VALUE"""),"North Mara")</f>
        <v>North Mara</v>
      </c>
    </row>
    <row r="173" spans="3:3" x14ac:dyDescent="0.2">
      <c r="C173" s="21" t="str">
        <f ca="1">IFERROR(__xludf.DUMMYFUNCTION("""COMPUTED_VALUE"""),"North Horr")</f>
        <v>North Horr</v>
      </c>
    </row>
    <row r="174" spans="3:3" x14ac:dyDescent="0.2">
      <c r="C174" s="27" t="str">
        <f ca="1">IFERROR(__xludf.DUMMYFUNCTION("""COMPUTED_VALUE"""),"Nyahururu")</f>
        <v>Nyahururu</v>
      </c>
    </row>
    <row r="175" spans="3:3" x14ac:dyDescent="0.2">
      <c r="C175" s="27" t="str">
        <f ca="1">IFERROR(__xludf.DUMMYFUNCTION("""COMPUTED_VALUE"""),"Nyeri")</f>
        <v>Nyeri</v>
      </c>
    </row>
    <row r="176" spans="3:3" x14ac:dyDescent="0.2">
      <c r="C176" s="28" t="str">
        <f ca="1">IFERROR(__xludf.DUMMYFUNCTION("""COMPUTED_VALUE"""),"Ol Donyo Waus")</f>
        <v>Ol Donyo Waus</v>
      </c>
    </row>
    <row r="177" spans="3:3" x14ac:dyDescent="0.2">
      <c r="C177" s="27" t="str">
        <f ca="1">IFERROR(__xludf.DUMMYFUNCTION("""COMPUTED_VALUE"""),"Ol Jogi")</f>
        <v>Ol Jogi</v>
      </c>
    </row>
    <row r="178" spans="3:3" x14ac:dyDescent="0.2">
      <c r="C178" s="23" t="str">
        <f ca="1">IFERROR(__xludf.DUMMYFUNCTION("""COMPUTED_VALUE"""),"Ol Kuruk")</f>
        <v>Ol Kuruk</v>
      </c>
    </row>
    <row r="179" spans="3:3" x14ac:dyDescent="0.2">
      <c r="C179" s="27" t="str">
        <f ca="1">IFERROR(__xludf.DUMMYFUNCTION("""COMPUTED_VALUE"""),"Ol Maisor")</f>
        <v>Ol Maisor</v>
      </c>
    </row>
    <row r="180" spans="3:3" x14ac:dyDescent="0.2">
      <c r="C180" s="27" t="str">
        <f ca="1">IFERROR(__xludf.DUMMYFUNCTION("""COMPUTED_VALUE"""),"Ol Malo")</f>
        <v>Ol Malo</v>
      </c>
    </row>
    <row r="181" spans="3:3" x14ac:dyDescent="0.2">
      <c r="C181" s="27" t="str">
        <f ca="1">IFERROR(__xludf.DUMMYFUNCTION("""COMPUTED_VALUE"""),"Ol Malo")</f>
        <v>Ol Malo</v>
      </c>
    </row>
    <row r="182" spans="3:3" x14ac:dyDescent="0.2">
      <c r="C182" s="27" t="str">
        <f ca="1">IFERROR(__xludf.DUMMYFUNCTION("""COMPUTED_VALUE"""),"Ol Pejeta")</f>
        <v>Ol Pejeta</v>
      </c>
    </row>
    <row r="183" spans="3:3" x14ac:dyDescent="0.2">
      <c r="C183" s="23" t="str">
        <f ca="1">IFERROR(__xludf.DUMMYFUNCTION("""COMPUTED_VALUE"""),"Ol Seki")</f>
        <v>Ol Seki</v>
      </c>
    </row>
    <row r="184" spans="3:3" x14ac:dyDescent="0.2">
      <c r="C184" s="23" t="str">
        <f ca="1">IFERROR(__xludf.DUMMYFUNCTION("""COMPUTED_VALUE"""),"Olare Orok")</f>
        <v>Olare Orok</v>
      </c>
    </row>
    <row r="185" spans="3:3" x14ac:dyDescent="0.2">
      <c r="C185" s="27" t="str">
        <f ca="1">IFERROR(__xludf.DUMMYFUNCTION("""COMPUTED_VALUE"""),"Ole Naishu")</f>
        <v>Ole Naishu</v>
      </c>
    </row>
    <row r="186" spans="3:3" x14ac:dyDescent="0.2">
      <c r="C186" s="23" t="str">
        <f ca="1">IFERROR(__xludf.DUMMYFUNCTION("""COMPUTED_VALUE"""),"Olkiombo ")</f>
        <v xml:space="preserve">Olkiombo </v>
      </c>
    </row>
    <row r="187" spans="3:3" x14ac:dyDescent="0.2">
      <c r="C187" s="29" t="str">
        <f ca="1">IFERROR(__xludf.DUMMYFUNCTION("""COMPUTED_VALUE"""),"ORLY Airpark")</f>
        <v>ORLY Airpark</v>
      </c>
    </row>
    <row r="188" spans="3:3" x14ac:dyDescent="0.2">
      <c r="C188" s="27" t="str">
        <f ca="1">IFERROR(__xludf.DUMMYFUNCTION("""COMPUTED_VALUE"""),"Oryx Samburu")</f>
        <v>Oryx Samburu</v>
      </c>
    </row>
    <row r="189" spans="3:3" x14ac:dyDescent="0.2">
      <c r="C189" s="31" t="str">
        <f ca="1">IFERROR(__xludf.DUMMYFUNCTION("""COMPUTED_VALUE"""),"Oserian")</f>
        <v>Oserian</v>
      </c>
    </row>
    <row r="190" spans="3:3" x14ac:dyDescent="0.2">
      <c r="C190" s="21" t="str">
        <f ca="1">IFERROR(__xludf.DUMMYFUNCTION("""COMPUTED_VALUE"""),"Pai Pai")</f>
        <v>Pai Pai</v>
      </c>
    </row>
    <row r="191" spans="3:3" x14ac:dyDescent="0.2">
      <c r="C191" s="19" t="str">
        <f ca="1">IFERROR(__xludf.DUMMYFUNCTION("""COMPUTED_VALUE"""),"Rangers")</f>
        <v>Rangers</v>
      </c>
    </row>
    <row r="192" spans="3:3" x14ac:dyDescent="0.2">
      <c r="C192" s="27" t="str">
        <f ca="1">IFERROR(__xludf.DUMMYFUNCTION("""COMPUTED_VALUE"""),"Reteti")</f>
        <v>Reteti</v>
      </c>
    </row>
    <row r="193" spans="3:3" x14ac:dyDescent="0.2">
      <c r="C193" s="30" t="str">
        <f ca="1">IFERROR(__xludf.DUMMYFUNCTION("""COMPUTED_VALUE"""),"Rhamu")</f>
        <v>Rhamu</v>
      </c>
    </row>
    <row r="194" spans="3:3" x14ac:dyDescent="0.2">
      <c r="C194" s="25" t="str">
        <f ca="1">IFERROR(__xludf.DUMMYFUNCTION("""COMPUTED_VALUE"""),"Rhino Base")</f>
        <v>Rhino Base</v>
      </c>
    </row>
    <row r="195" spans="3:3" x14ac:dyDescent="0.2">
      <c r="C195" s="23" t="str">
        <f ca="1">IFERROR(__xludf.DUMMYFUNCTION("""COMPUTED_VALUE"""),"Richards Little camp mara")</f>
        <v>Richards Little camp mara</v>
      </c>
    </row>
    <row r="196" spans="3:3" x14ac:dyDescent="0.2">
      <c r="C196" s="19" t="str">
        <f ca="1">IFERROR(__xludf.DUMMYFUNCTION("""COMPUTED_VALUE"""),"Rocco Olerai")</f>
        <v>Rocco Olerai</v>
      </c>
    </row>
    <row r="197" spans="3:3" x14ac:dyDescent="0.2">
      <c r="C197" s="28" t="str">
        <f ca="1">IFERROR(__xludf.DUMMYFUNCTION("""COMPUTED_VALUE"""),"Rukinga")</f>
        <v>Rukinga</v>
      </c>
    </row>
    <row r="198" spans="3:3" x14ac:dyDescent="0.2">
      <c r="C198" s="24" t="str">
        <f ca="1">IFERROR(__xludf.DUMMYFUNCTION("""COMPUTED_VALUE"""),"Rusinga Island")</f>
        <v>Rusinga Island</v>
      </c>
    </row>
    <row r="199" spans="3:3" x14ac:dyDescent="0.2">
      <c r="C199" s="25" t="str">
        <f ca="1">IFERROR(__xludf.DUMMYFUNCTION("""COMPUTED_VALUE"""),"Sala Gate")</f>
        <v>Sala Gate</v>
      </c>
    </row>
    <row r="200" spans="3:3" x14ac:dyDescent="0.2">
      <c r="C200" s="29" t="str">
        <f ca="1">IFERROR(__xludf.DUMMYFUNCTION("""COMPUTED_VALUE"""),"Samburu Buffalo Springs")</f>
        <v>Samburu Buffalo Springs</v>
      </c>
    </row>
    <row r="201" spans="3:3" x14ac:dyDescent="0.2">
      <c r="C201" s="27" t="str">
        <f ca="1">IFERROR(__xludf.DUMMYFUNCTION("""COMPUTED_VALUE"""),"Sangare")</f>
        <v>Sangare</v>
      </c>
    </row>
    <row r="202" spans="3:3" x14ac:dyDescent="0.2">
      <c r="C202" s="27" t="str">
        <f ca="1">IFERROR(__xludf.DUMMYFUNCTION("""COMPUTED_VALUE"""),"Sarara")</f>
        <v>Sarara</v>
      </c>
    </row>
    <row r="203" spans="3:3" x14ac:dyDescent="0.2">
      <c r="C203" s="27" t="str">
        <f ca="1">IFERROR(__xludf.DUMMYFUNCTION("""COMPUTED_VALUE"""),"Sasaab")</f>
        <v>Sasaab</v>
      </c>
    </row>
    <row r="204" spans="3:3" x14ac:dyDescent="0.2">
      <c r="C204" s="25" t="str">
        <f ca="1">IFERROR(__xludf.DUMMYFUNCTION("""COMPUTED_VALUE"""),"Satao")</f>
        <v>Satao</v>
      </c>
    </row>
    <row r="205" spans="3:3" x14ac:dyDescent="0.2">
      <c r="C205" s="21" t="str">
        <f ca="1">IFERROR(__xludf.DUMMYFUNCTION("""COMPUTED_VALUE"""),"Sedar")</f>
        <v>Sedar</v>
      </c>
    </row>
    <row r="206" spans="3:3" x14ac:dyDescent="0.2">
      <c r="C206" s="29" t="str">
        <f ca="1">IFERROR(__xludf.DUMMYFUNCTION("""COMPUTED_VALUE"""),"Segel Marsabit")</f>
        <v>Segel Marsabit</v>
      </c>
    </row>
    <row r="207" spans="3:3" x14ac:dyDescent="0.2">
      <c r="C207" s="27" t="str">
        <f ca="1">IFERROR(__xludf.DUMMYFUNCTION("""COMPUTED_VALUE"""),"Segera Ranch")</f>
        <v>Segera Ranch</v>
      </c>
    </row>
    <row r="208" spans="3:3" x14ac:dyDescent="0.2">
      <c r="C208" s="29" t="str">
        <f ca="1">IFERROR(__xludf.DUMMYFUNCTION("""COMPUTED_VALUE"""),"Sera Kauro")</f>
        <v>Sera Kauro</v>
      </c>
    </row>
    <row r="209" spans="3:3" x14ac:dyDescent="0.2">
      <c r="C209" s="29" t="str">
        <f ca="1">IFERROR(__xludf.DUMMYFUNCTION("""COMPUTED_VALUE"""),"Sera Lebi")</f>
        <v>Sera Lebi</v>
      </c>
    </row>
    <row r="210" spans="3:3" x14ac:dyDescent="0.2">
      <c r="C210" s="23" t="str">
        <f ca="1">IFERROR(__xludf.DUMMYFUNCTION("""COMPUTED_VALUE"""),"Serena Mara")</f>
        <v>Serena Mara</v>
      </c>
    </row>
    <row r="211" spans="3:3" x14ac:dyDescent="0.2">
      <c r="C211" s="29" t="str">
        <f ca="1">IFERROR(__xludf.DUMMYFUNCTION("""COMPUTED_VALUE"""),"Shaba")</f>
        <v>Shaba</v>
      </c>
    </row>
    <row r="212" spans="3:3" x14ac:dyDescent="0.2">
      <c r="C212" s="19" t="str">
        <f ca="1">IFERROR(__xludf.DUMMYFUNCTION("""COMPUTED_VALUE"""),"Shompole")</f>
        <v>Shompole</v>
      </c>
    </row>
    <row r="213" spans="3:3" x14ac:dyDescent="0.2">
      <c r="C213" s="23" t="str">
        <f ca="1">IFERROR(__xludf.DUMMYFUNCTION("""COMPUTED_VALUE"""),"Siana Springs")</f>
        <v>Siana Springs</v>
      </c>
    </row>
    <row r="214" spans="3:3" x14ac:dyDescent="0.2">
      <c r="C214" s="21" t="str">
        <f ca="1">IFERROR(__xludf.DUMMYFUNCTION("""COMPUTED_VALUE"""),"Sibiloi")</f>
        <v>Sibiloi</v>
      </c>
    </row>
    <row r="215" spans="3:3" x14ac:dyDescent="0.2">
      <c r="C215" s="27" t="str">
        <f ca="1">IFERROR(__xludf.DUMMYFUNCTION("""COMPUTED_VALUE"""),"Simba Rumaruti")</f>
        <v>Simba Rumaruti</v>
      </c>
    </row>
    <row r="216" spans="3:3" x14ac:dyDescent="0.2">
      <c r="C216" s="24" t="str">
        <f ca="1">IFERROR(__xludf.DUMMYFUNCTION("""COMPUTED_VALUE"""),"Soitik")</f>
        <v>Soitik</v>
      </c>
    </row>
    <row r="217" spans="3:3" x14ac:dyDescent="0.2">
      <c r="C217" s="27" t="str">
        <f ca="1">IFERROR(__xludf.DUMMYFUNCTION("""COMPUTED_VALUE"""),"Solio Ranch")</f>
        <v>Solio Ranch</v>
      </c>
    </row>
    <row r="218" spans="3:3" x14ac:dyDescent="0.2">
      <c r="C218" s="27" t="str">
        <f ca="1">IFERROR(__xludf.DUMMYFUNCTION("""COMPUTED_VALUE"""),"Sosian")</f>
        <v>Sosian</v>
      </c>
    </row>
    <row r="219" spans="3:3" x14ac:dyDescent="0.2">
      <c r="C219" s="21" t="str">
        <f ca="1">IFERROR(__xludf.DUMMYFUNCTION("""COMPUTED_VALUE"""),"South Horr (use Sedar)")</f>
        <v>South Horr (use Sedar)</v>
      </c>
    </row>
    <row r="220" spans="3:3" x14ac:dyDescent="0.2">
      <c r="C220" s="31" t="str">
        <f ca="1">IFERROR(__xludf.DUMMYFUNCTION("""COMPUTED_VALUE"""),"Soysambu HQ")</f>
        <v>Soysambu HQ</v>
      </c>
    </row>
    <row r="221" spans="3:3" x14ac:dyDescent="0.2">
      <c r="C221" s="19" t="str">
        <f ca="1">IFERROR(__xludf.DUMMYFUNCTION("""COMPUTED_VALUE"""),"St. Andrews Turi")</f>
        <v>St. Andrews Turi</v>
      </c>
    </row>
    <row r="222" spans="3:3" x14ac:dyDescent="0.2">
      <c r="C222" s="27" t="str">
        <f ca="1">IFERROR(__xludf.DUMMYFUNCTION("""COMPUTED_VALUE"""),"Suiyan")</f>
        <v>Suiyan</v>
      </c>
    </row>
    <row r="223" spans="3:3" x14ac:dyDescent="0.2">
      <c r="C223" s="28" t="str">
        <f ca="1">IFERROR(__xludf.DUMMYFUNCTION("""COMPUTED_VALUE"""),"Taita-Hills Lodge")</f>
        <v>Taita-Hills Lodge</v>
      </c>
    </row>
    <row r="224" spans="3:3" x14ac:dyDescent="0.2">
      <c r="C224" s="30" t="str">
        <f ca="1">IFERROR(__xludf.DUMMYFUNCTION("""COMPUTED_VALUE"""),"Takabba")</f>
        <v>Takabba</v>
      </c>
    </row>
    <row r="225" spans="3:3" x14ac:dyDescent="0.2">
      <c r="C225" s="26" t="str">
        <f ca="1">IFERROR(__xludf.DUMMYFUNCTION("""COMPUTED_VALUE"""),"Tana River Delta Shikiko")</f>
        <v>Tana River Delta Shikiko</v>
      </c>
    </row>
    <row r="226" spans="3:3" x14ac:dyDescent="0.2">
      <c r="C226" s="27" t="str">
        <f ca="1">IFERROR(__xludf.DUMMYFUNCTION("""COMPUTED_VALUE"""),"Tassia")</f>
        <v>Tassia</v>
      </c>
    </row>
    <row r="227" spans="3:3" x14ac:dyDescent="0.2">
      <c r="C227" s="29" t="str">
        <f ca="1">IFERROR(__xludf.DUMMYFUNCTION("""COMPUTED_VALUE"""),"Tatu")</f>
        <v>Tatu</v>
      </c>
    </row>
    <row r="228" spans="3:3" x14ac:dyDescent="0.2">
      <c r="C228" s="28" t="str">
        <f ca="1">IFERROR(__xludf.DUMMYFUNCTION("""COMPUTED_VALUE"""),"Taveta-Sisal")</f>
        <v>Taveta-Sisal</v>
      </c>
    </row>
    <row r="229" spans="3:3" x14ac:dyDescent="0.2">
      <c r="C229" s="22" t="str">
        <f ca="1">IFERROR(__xludf.DUMMYFUNCTION("""COMPUTED_VALUE"""),"Tawi")</f>
        <v>Tawi</v>
      </c>
    </row>
    <row r="230" spans="3:3" x14ac:dyDescent="0.2">
      <c r="C230" s="29" t="str">
        <f ca="1">IFERROR(__xludf.DUMMYFUNCTION("""COMPUTED_VALUE"""),"Thika")</f>
        <v>Thika</v>
      </c>
    </row>
    <row r="231" spans="3:3" x14ac:dyDescent="0.2">
      <c r="C231" s="24" t="str">
        <f ca="1">IFERROR(__xludf.DUMMYFUNCTION("""COMPUTED_VALUE"""),"Tinderet")</f>
        <v>Tinderet</v>
      </c>
    </row>
    <row r="232" spans="3:3" x14ac:dyDescent="0.2">
      <c r="C232" s="21" t="str">
        <f ca="1">IFERROR(__xludf.DUMMYFUNCTION("""COMPUTED_VALUE"""),"Tum")</f>
        <v>Tum</v>
      </c>
    </row>
    <row r="233" spans="3:3" x14ac:dyDescent="0.2">
      <c r="C233" s="31" t="str">
        <f ca="1">IFERROR(__xludf.DUMMYFUNCTION("""COMPUTED_VALUE"""),"Turi")</f>
        <v>Turi</v>
      </c>
    </row>
    <row r="234" spans="3:3" x14ac:dyDescent="0.2">
      <c r="C234" s="19" t="str">
        <f ca="1">IFERROR(__xludf.DUMMYFUNCTION("""COMPUTED_VALUE"""),"Turkwel Gorge")</f>
        <v>Turkwel Gorge</v>
      </c>
    </row>
    <row r="235" spans="3:3" x14ac:dyDescent="0.2">
      <c r="C235" s="26" t="str">
        <f ca="1">IFERROR(__xludf.DUMMYFUNCTION("""COMPUTED_VALUE"""),"Ukunda Diani")</f>
        <v>Ukunda Diani</v>
      </c>
    </row>
    <row r="236" spans="3:3" x14ac:dyDescent="0.2">
      <c r="C236" s="28" t="str">
        <f ca="1">IFERROR(__xludf.DUMMYFUNCTION("""COMPUTED_VALUE"""),"Umani Springs")</f>
        <v>Umani Springs</v>
      </c>
    </row>
    <row r="237" spans="3:3" x14ac:dyDescent="0.2">
      <c r="C237" s="26" t="str">
        <f ca="1">IFERROR(__xludf.DUMMYFUNCTION("""COMPUTED_VALUE"""),"Vipingo")</f>
        <v>Vipingo</v>
      </c>
    </row>
    <row r="238" spans="3:3" x14ac:dyDescent="0.2">
      <c r="C238" s="28" t="str">
        <f ca="1">IFERROR(__xludf.DUMMYFUNCTION("""COMPUTED_VALUE"""),"Voi Park")</f>
        <v>Voi Park</v>
      </c>
    </row>
    <row r="239" spans="3:3" x14ac:dyDescent="0.2">
      <c r="C239" s="28" t="str">
        <f ca="1">IFERROR(__xludf.DUMMYFUNCTION("""COMPUTED_VALUE"""),"Voi Town")</f>
        <v>Voi Town</v>
      </c>
    </row>
    <row r="240" spans="3:3" x14ac:dyDescent="0.2">
      <c r="C240" s="30" t="str">
        <f ca="1">IFERROR(__xludf.DUMMYFUNCTION("""COMPUTED_VALUE"""),"Wajir Military")</f>
        <v>Wajir Military</v>
      </c>
    </row>
    <row r="241" spans="3:3" x14ac:dyDescent="0.2">
      <c r="C241" s="30" t="str">
        <f ca="1">IFERROR(__xludf.DUMMYFUNCTION("""COMPUTED_VALUE"""),"Wamba")</f>
        <v>Wamba</v>
      </c>
    </row>
    <row r="242" spans="3:3" x14ac:dyDescent="0.2">
      <c r="C242" s="24" t="str">
        <f ca="1">IFERROR(__xludf.DUMMYFUNCTION("""COMPUTED_VALUE"""),"Webuye")</f>
        <v>Webuye</v>
      </c>
    </row>
    <row r="243" spans="3:3" x14ac:dyDescent="0.2">
      <c r="C243" s="24" t="str">
        <f ca="1">IFERROR(__xludf.DUMMYFUNCTION("""COMPUTED_VALUE"""),"Yala Swamp")</f>
        <v>Yala Swamp</v>
      </c>
    </row>
    <row r="244" spans="3:3" x14ac:dyDescent="0.2">
      <c r="C244" s="28" t="str">
        <f ca="1">IFERROR(__xludf.DUMMYFUNCTION("""COMPUTED_VALUE"""),"Ziwani Sisal")</f>
        <v>Ziwani Sisal</v>
      </c>
    </row>
    <row r="245" spans="3:3" x14ac:dyDescent="0.2">
      <c r="C245" s="28" t="str">
        <f ca="1">IFERROR(__xludf.DUMMYFUNCTION("""COMPUTED_VALUE"""),"Ziwani-Lodge")</f>
        <v>Ziwani-Lodge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D47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26</v>
      </c>
      <c r="C3" s="2" t="str">
        <f ca="1">IFERROR(__xludf.DUMMYFUNCTION("FILTER('Airfield List'!A3:A1000, 'Airfield List'!B3:B1000 = B3)"),"Aru")</f>
        <v>Aru</v>
      </c>
      <c r="D3" s="2" t="str">
        <f ca="1">IFERROR(__xludf.DUMMYFUNCTION("FILTER(C3:C1000, ISNUMBER(SEARCH(""International"", C3:C1000)))"),"Dar es Salaam International")</f>
        <v>Dar es Salaam International</v>
      </c>
    </row>
    <row r="4" spans="2:4" x14ac:dyDescent="0.2">
      <c r="C4" s="2" t="str">
        <f ca="1">IFERROR(__xludf.DUMMYFUNCTION("""COMPUTED_VALUE"""),"Arua")</f>
        <v>Arua</v>
      </c>
      <c r="D4" s="2" t="str">
        <f ca="1">IFERROR(__xludf.DUMMYFUNCTION("""COMPUTED_VALUE"""),"Dodoma International")</f>
        <v>Dodoma International</v>
      </c>
    </row>
    <row r="5" spans="2:4" x14ac:dyDescent="0.2">
      <c r="C5" s="2" t="str">
        <f ca="1">IFERROR(__xludf.DUMMYFUNCTION("""COMPUTED_VALUE"""),"Arusha")</f>
        <v>Arusha</v>
      </c>
      <c r="D5" s="2" t="str">
        <f ca="1">IFERROR(__xludf.DUMMYFUNCTION("""COMPUTED_VALUE"""),"Kigoma International")</f>
        <v>Kigoma International</v>
      </c>
    </row>
    <row r="6" spans="2:4" x14ac:dyDescent="0.2">
      <c r="C6" s="2" t="str">
        <f ca="1">IFERROR(__xludf.DUMMYFUNCTION("""COMPUTED_VALUE"""),"Boma")</f>
        <v>Boma</v>
      </c>
      <c r="D6" s="2" t="str">
        <f ca="1">IFERROR(__xludf.DUMMYFUNCTION("""COMPUTED_VALUE"""),"Kilimanjaro International")</f>
        <v>Kilimanjaro International</v>
      </c>
    </row>
    <row r="7" spans="2:4" x14ac:dyDescent="0.2">
      <c r="C7" s="2" t="str">
        <f ca="1">IFERROR(__xludf.DUMMYFUNCTION("""COMPUTED_VALUE"""),"Dar es Salaam International")</f>
        <v>Dar es Salaam International</v>
      </c>
      <c r="D7" s="2" t="str">
        <f ca="1">IFERROR(__xludf.DUMMYFUNCTION("""COMPUTED_VALUE"""),"Musoma International")</f>
        <v>Musoma International</v>
      </c>
    </row>
    <row r="8" spans="2:4" x14ac:dyDescent="0.2">
      <c r="C8" s="2" t="str">
        <f ca="1">IFERROR(__xludf.DUMMYFUNCTION("""COMPUTED_VALUE"""),"Dodoma International")</f>
        <v>Dodoma International</v>
      </c>
      <c r="D8" s="2" t="str">
        <f ca="1">IFERROR(__xludf.DUMMYFUNCTION("""COMPUTED_VALUE"""),"Mwanza International")</f>
        <v>Mwanza International</v>
      </c>
    </row>
    <row r="9" spans="2:4" x14ac:dyDescent="0.2">
      <c r="C9" s="2" t="str">
        <f ca="1">IFERROR(__xludf.DUMMYFUNCTION("""COMPUTED_VALUE"""),"Dolly Estate")</f>
        <v>Dolly Estate</v>
      </c>
      <c r="D9" s="2" t="str">
        <f ca="1">IFERROR(__xludf.DUMMYFUNCTION("""COMPUTED_VALUE"""),"Tanga International")</f>
        <v>Tanga International</v>
      </c>
    </row>
    <row r="10" spans="2:4" x14ac:dyDescent="0.2">
      <c r="C10" s="2" t="str">
        <f ca="1">IFERROR(__xludf.DUMMYFUNCTION("""COMPUTED_VALUE"""),"Fort Ikoma")</f>
        <v>Fort Ikoma</v>
      </c>
      <c r="D10" s="2" t="str">
        <f ca="1">IFERROR(__xludf.DUMMYFUNCTION("""COMPUTED_VALUE"""),"Zanzibar International")</f>
        <v>Zanzibar International</v>
      </c>
    </row>
    <row r="11" spans="2:4" x14ac:dyDescent="0.2">
      <c r="C11" s="2" t="str">
        <f ca="1">IFERROR(__xludf.DUMMYFUNCTION("""COMPUTED_VALUE"""),"Grumeti")</f>
        <v>Grumeti</v>
      </c>
    </row>
    <row r="12" spans="2:4" x14ac:dyDescent="0.2">
      <c r="C12" s="2" t="str">
        <f ca="1">IFERROR(__xludf.DUMMYFUNCTION("""COMPUTED_VALUE"""),"Iringa ")</f>
        <v xml:space="preserve">Iringa </v>
      </c>
    </row>
    <row r="13" spans="2:4" x14ac:dyDescent="0.2">
      <c r="C13" s="2" t="str">
        <f ca="1">IFERROR(__xludf.DUMMYFUNCTION("""COMPUTED_VALUE"""),"Kahama")</f>
        <v>Kahama</v>
      </c>
    </row>
    <row r="14" spans="2:4" x14ac:dyDescent="0.2">
      <c r="C14" s="2" t="str">
        <f ca="1">IFERROR(__xludf.DUMMYFUNCTION("""COMPUTED_VALUE"""),"Kigoma International")</f>
        <v>Kigoma International</v>
      </c>
    </row>
    <row r="15" spans="2:4" x14ac:dyDescent="0.2">
      <c r="C15" s="2" t="str">
        <f ca="1">IFERROR(__xludf.DUMMYFUNCTION("""COMPUTED_VALUE"""),"Kilimanjaro International")</f>
        <v>Kilimanjaro International</v>
      </c>
    </row>
    <row r="16" spans="2:4" x14ac:dyDescent="0.2">
      <c r="C16" s="2" t="str">
        <f ca="1">IFERROR(__xludf.DUMMYFUNCTION("""COMPUTED_VALUE"""),"Kogatende")</f>
        <v>Kogatende</v>
      </c>
    </row>
    <row r="17" spans="3:3" x14ac:dyDescent="0.2">
      <c r="C17" s="2" t="str">
        <f ca="1">IFERROR(__xludf.DUMMYFUNCTION("""COMPUTED_VALUE"""),"Lake Manyara")</f>
        <v>Lake Manyara</v>
      </c>
    </row>
    <row r="18" spans="3:3" x14ac:dyDescent="0.2">
      <c r="C18" s="2" t="str">
        <f ca="1">IFERROR(__xludf.DUMMYFUNCTION("""COMPUTED_VALUE"""),"Lamai")</f>
        <v>Lamai</v>
      </c>
    </row>
    <row r="19" spans="3:3" x14ac:dyDescent="0.2">
      <c r="C19" s="2" t="str">
        <f ca="1">IFERROR(__xludf.DUMMYFUNCTION("""COMPUTED_VALUE"""),"Lobo")</f>
        <v>Lobo</v>
      </c>
    </row>
    <row r="20" spans="3:3" x14ac:dyDescent="0.2">
      <c r="C20" s="2" t="str">
        <f ca="1">IFERROR(__xludf.DUMMYFUNCTION("""COMPUTED_VALUE"""),"Loliondo")</f>
        <v>Loliondo</v>
      </c>
    </row>
    <row r="21" spans="3:3" x14ac:dyDescent="0.2">
      <c r="C21" s="2" t="str">
        <f ca="1">IFERROR(__xludf.DUMMYFUNCTION("""COMPUTED_VALUE"""),"Mafia")</f>
        <v>Mafia</v>
      </c>
    </row>
    <row r="22" spans="3:3" x14ac:dyDescent="0.2">
      <c r="C22" s="2" t="str">
        <f ca="1">IFERROR(__xludf.DUMMYFUNCTION("""COMPUTED_VALUE"""),"Mahale")</f>
        <v>Mahale</v>
      </c>
    </row>
    <row r="23" spans="3:3" x14ac:dyDescent="0.2">
      <c r="C23" s="2" t="str">
        <f ca="1">IFERROR(__xludf.DUMMYFUNCTION("""COMPUTED_VALUE"""),"Mbeya")</f>
        <v>Mbeya</v>
      </c>
    </row>
    <row r="24" spans="3:3" x14ac:dyDescent="0.2">
      <c r="C24" s="2" t="str">
        <f ca="1">IFERROR(__xludf.DUMMYFUNCTION("""COMPUTED_VALUE"""),"Moshi")</f>
        <v>Moshi</v>
      </c>
    </row>
    <row r="25" spans="3:3" x14ac:dyDescent="0.2">
      <c r="C25" s="2" t="str">
        <f ca="1">IFERROR(__xludf.DUMMYFUNCTION("""COMPUTED_VALUE"""),"Mtwara")</f>
        <v>Mtwara</v>
      </c>
    </row>
    <row r="26" spans="3:3" x14ac:dyDescent="0.2">
      <c r="C26" s="2" t="str">
        <f ca="1">IFERROR(__xludf.DUMMYFUNCTION("""COMPUTED_VALUE"""),"Musoma International")</f>
        <v>Musoma International</v>
      </c>
    </row>
    <row r="27" spans="3:3" x14ac:dyDescent="0.2">
      <c r="C27" s="2" t="str">
        <f ca="1">IFERROR(__xludf.DUMMYFUNCTION("""COMPUTED_VALUE"""),"Mwanza International")</f>
        <v>Mwanza International</v>
      </c>
    </row>
    <row r="28" spans="3:3" x14ac:dyDescent="0.2">
      <c r="C28" s="2" t="str">
        <f ca="1">IFERROR(__xludf.DUMMYFUNCTION("""COMPUTED_VALUE"""),"Ndutu")</f>
        <v>Ndutu</v>
      </c>
    </row>
    <row r="29" spans="3:3" x14ac:dyDescent="0.2">
      <c r="C29" s="2" t="str">
        <f ca="1">IFERROR(__xludf.DUMMYFUNCTION("""COMPUTED_VALUE"""),"Ngerengere TZ")</f>
        <v>Ngerengere TZ</v>
      </c>
    </row>
    <row r="30" spans="3:3" x14ac:dyDescent="0.2">
      <c r="C30" s="2" t="str">
        <f ca="1">IFERROR(__xludf.DUMMYFUNCTION("""COMPUTED_VALUE"""),"Ngorongoro Crater")</f>
        <v>Ngorongoro Crater</v>
      </c>
    </row>
    <row r="31" spans="3:3" x14ac:dyDescent="0.2">
      <c r="C31" s="2" t="str">
        <f ca="1">IFERROR(__xludf.DUMMYFUNCTION("""COMPUTED_VALUE"""),"Njombe")</f>
        <v>Njombe</v>
      </c>
    </row>
    <row r="32" spans="3:3" x14ac:dyDescent="0.2">
      <c r="C32" s="2" t="str">
        <f ca="1">IFERROR(__xludf.DUMMYFUNCTION("""COMPUTED_VALUE"""),"Olduvai")</f>
        <v>Olduvai</v>
      </c>
    </row>
    <row r="33" spans="3:3" x14ac:dyDescent="0.2">
      <c r="C33" s="2" t="str">
        <f ca="1">IFERROR(__xludf.DUMMYFUNCTION("""COMPUTED_VALUE"""),"Pemba")</f>
        <v>Pemba</v>
      </c>
    </row>
    <row r="34" spans="3:3" x14ac:dyDescent="0.2">
      <c r="C34" s="2" t="str">
        <f ca="1">IFERROR(__xludf.DUMMYFUNCTION("""COMPUTED_VALUE"""),"Ruaha (Msembe )")</f>
        <v>Ruaha (Msembe )</v>
      </c>
    </row>
    <row r="35" spans="3:3" x14ac:dyDescent="0.2">
      <c r="C35" s="2" t="str">
        <f ca="1">IFERROR(__xludf.DUMMYFUNCTION("""COMPUTED_VALUE"""),"Sasakwa")</f>
        <v>Sasakwa</v>
      </c>
    </row>
    <row r="36" spans="3:3" x14ac:dyDescent="0.2">
      <c r="C36" s="2" t="str">
        <f ca="1">IFERROR(__xludf.DUMMYFUNCTION("""COMPUTED_VALUE"""),"Seronera")</f>
        <v>Seronera</v>
      </c>
    </row>
    <row r="37" spans="3:3" x14ac:dyDescent="0.2">
      <c r="C37" s="2" t="str">
        <f ca="1">IFERROR(__xludf.DUMMYFUNCTION("""COMPUTED_VALUE"""),"Shinyanga")</f>
        <v>Shinyanga</v>
      </c>
    </row>
    <row r="38" spans="3:3" x14ac:dyDescent="0.2">
      <c r="C38" s="2" t="str">
        <f ca="1">IFERROR(__xludf.DUMMYFUNCTION("""COMPUTED_VALUE"""),"Singida")</f>
        <v>Singida</v>
      </c>
    </row>
    <row r="39" spans="3:3" x14ac:dyDescent="0.2">
      <c r="C39" s="2" t="str">
        <f ca="1">IFERROR(__xludf.DUMMYFUNCTION("""COMPUTED_VALUE"""),"Songea")</f>
        <v>Songea</v>
      </c>
    </row>
    <row r="40" spans="3:3" x14ac:dyDescent="0.2">
      <c r="C40" s="2" t="str">
        <f ca="1">IFERROR(__xludf.DUMMYFUNCTION("""COMPUTED_VALUE"""),"Sumbawanga")</f>
        <v>Sumbawanga</v>
      </c>
    </row>
    <row r="41" spans="3:3" x14ac:dyDescent="0.2">
      <c r="C41" s="2" t="str">
        <f ca="1">IFERROR(__xludf.DUMMYFUNCTION("""COMPUTED_VALUE"""),"Tabora")</f>
        <v>Tabora</v>
      </c>
    </row>
    <row r="42" spans="3:3" x14ac:dyDescent="0.2">
      <c r="C42" s="2" t="str">
        <f ca="1">IFERROR(__xludf.DUMMYFUNCTION("""COMPUTED_VALUE"""),"Tanga International")</f>
        <v>Tanga International</v>
      </c>
    </row>
    <row r="43" spans="3:3" x14ac:dyDescent="0.2">
      <c r="C43" s="2" t="str">
        <f ca="1">IFERROR(__xludf.DUMMYFUNCTION("""COMPUTED_VALUE"""),"Tarangire")</f>
        <v>Tarangire</v>
      </c>
    </row>
    <row r="44" spans="3:3" x14ac:dyDescent="0.2">
      <c r="C44" s="2" t="str">
        <f ca="1">IFERROR(__xludf.DUMMYFUNCTION("""COMPUTED_VALUE"""),"Tarime")</f>
        <v>Tarime</v>
      </c>
    </row>
    <row r="45" spans="3:3" x14ac:dyDescent="0.2">
      <c r="C45" s="2" t="str">
        <f ca="1">IFERROR(__xludf.DUMMYFUNCTION("""COMPUTED_VALUE"""),"TPC Arusha Chini")</f>
        <v>TPC Arusha Chini</v>
      </c>
    </row>
    <row r="46" spans="3:3" x14ac:dyDescent="0.2">
      <c r="C46" s="2" t="str">
        <f ca="1">IFERROR(__xludf.DUMMYFUNCTION("""COMPUTED_VALUE"""),"West Kilimanjiro")</f>
        <v>West Kilimanjiro</v>
      </c>
    </row>
    <row r="47" spans="3:3" x14ac:dyDescent="0.2">
      <c r="C47" s="2" t="str">
        <f ca="1">IFERROR(__xludf.DUMMYFUNCTION("""COMPUTED_VALUE"""),"Zanzibar International")</f>
        <v>Zanzibar International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D4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10</v>
      </c>
      <c r="C3" s="2" t="str">
        <f ca="1">IFERROR(__xludf.DUMMYFUNCTION("FILTER('Airfield List'!A3:A1000, 'Airfield List'!B3:B1000 = B3)"),"Addis Ababa International")</f>
        <v>Addis Ababa International</v>
      </c>
      <c r="D3" s="2" t="str">
        <f ca="1">IFERROR(__xludf.DUMMYFUNCTION("FILTER(C3:C1000, ISNUMBER(SEARCH(""International"", C3:C1000)))"),"Addis Ababa International")</f>
        <v>Addis Ababa International</v>
      </c>
    </row>
    <row r="4" spans="2:4" x14ac:dyDescent="0.2">
      <c r="C4" s="2" t="str">
        <f ca="1">IFERROR(__xludf.DUMMYFUNCTION("""COMPUTED_VALUE"""),"Dire Dawa")</f>
        <v>Dire Dawa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D24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46</v>
      </c>
      <c r="C3" s="2" t="str">
        <f ca="1">IFERROR(__xludf.DUMMYFUNCTION("FILTER('Airfield List'!A3:A1000, 'Airfield List'!B3:B1000 = B3)"),"Beni")</f>
        <v>Beni</v>
      </c>
      <c r="D3" s="2" t="str">
        <f ca="1">IFERROR(__xludf.DUMMYFUNCTION("FILTER(C3:C1000, ISNUMBER(SEARCH(""International"", C3:C1000)))"),"Kisangani Bangoka International")</f>
        <v>Kisangani Bangoka International</v>
      </c>
    </row>
    <row r="4" spans="2:4" x14ac:dyDescent="0.2">
      <c r="C4" s="2" t="str">
        <f ca="1">IFERROR(__xludf.DUMMYFUNCTION("""COMPUTED_VALUE"""),"Bukavu")</f>
        <v>Bukavu</v>
      </c>
    </row>
    <row r="5" spans="2:4" x14ac:dyDescent="0.2">
      <c r="C5" s="2" t="str">
        <f ca="1">IFERROR(__xludf.DUMMYFUNCTION("""COMPUTED_VALUE"""),"Bunia")</f>
        <v>Bunia</v>
      </c>
    </row>
    <row r="6" spans="2:4" x14ac:dyDescent="0.2">
      <c r="C6" s="2" t="str">
        <f ca="1">IFERROR(__xludf.DUMMYFUNCTION("""COMPUTED_VALUE"""),"Goma (DRC)")</f>
        <v>Goma (DRC)</v>
      </c>
    </row>
    <row r="7" spans="2:4" x14ac:dyDescent="0.2">
      <c r="C7" s="2" t="str">
        <f ca="1">IFERROR(__xludf.DUMMYFUNCTION("""COMPUTED_VALUE"""),"Kabalo")</f>
        <v>Kabalo</v>
      </c>
    </row>
    <row r="8" spans="2:4" x14ac:dyDescent="0.2">
      <c r="C8" s="2" t="str">
        <f ca="1">IFERROR(__xludf.DUMMYFUNCTION("""COMPUTED_VALUE"""),"Kalemie")</f>
        <v>Kalemie</v>
      </c>
    </row>
    <row r="9" spans="2:4" x14ac:dyDescent="0.2">
      <c r="C9" s="2" t="str">
        <f ca="1">IFERROR(__xludf.DUMMYFUNCTION("""COMPUTED_VALUE"""),"Kananga")</f>
        <v>Kananga</v>
      </c>
    </row>
    <row r="10" spans="2:4" x14ac:dyDescent="0.2">
      <c r="C10" s="2" t="str">
        <f ca="1">IFERROR(__xludf.DUMMYFUNCTION("""COMPUTED_VALUE"""),"Kikondja")</f>
        <v>Kikondja</v>
      </c>
    </row>
    <row r="11" spans="2:4" x14ac:dyDescent="0.2">
      <c r="C11" s="2" t="str">
        <f ca="1">IFERROR(__xludf.DUMMYFUNCTION("""COMPUTED_VALUE"""),"Kikungwa")</f>
        <v>Kikungwa</v>
      </c>
    </row>
    <row r="12" spans="2:4" x14ac:dyDescent="0.2">
      <c r="C12" s="2" t="str">
        <f ca="1">IFERROR(__xludf.DUMMYFUNCTION("""COMPUTED_VALUE"""),"Kindu")</f>
        <v>Kindu</v>
      </c>
    </row>
    <row r="13" spans="2:4" x14ac:dyDescent="0.2">
      <c r="C13" s="2" t="str">
        <f ca="1">IFERROR(__xludf.DUMMYFUNCTION("""COMPUTED_VALUE"""),"Kisangani Bangoka International")</f>
        <v>Kisangani Bangoka International</v>
      </c>
    </row>
    <row r="14" spans="2:4" x14ac:dyDescent="0.2">
      <c r="C14" s="2" t="str">
        <f ca="1">IFERROR(__xludf.DUMMYFUNCTION("""COMPUTED_VALUE"""),"Kongolo")</f>
        <v>Kongolo</v>
      </c>
    </row>
    <row r="15" spans="2:4" x14ac:dyDescent="0.2">
      <c r="C15" s="2" t="str">
        <f ca="1">IFERROR(__xludf.DUMMYFUNCTION("""COMPUTED_VALUE"""),"Kongoussi")</f>
        <v>Kongoussi</v>
      </c>
    </row>
    <row r="16" spans="2:4" x14ac:dyDescent="0.2">
      <c r="C16" s="2" t="str">
        <f ca="1">IFERROR(__xludf.DUMMYFUNCTION("""COMPUTED_VALUE"""),"Lodja")</f>
        <v>Lodja</v>
      </c>
    </row>
    <row r="17" spans="3:3" x14ac:dyDescent="0.2">
      <c r="C17" s="2" t="str">
        <f ca="1">IFERROR(__xludf.DUMMYFUNCTION("""COMPUTED_VALUE"""),"Lulimba")</f>
        <v>Lulimba</v>
      </c>
    </row>
    <row r="18" spans="3:3" x14ac:dyDescent="0.2">
      <c r="C18" s="2" t="str">
        <f ca="1">IFERROR(__xludf.DUMMYFUNCTION("""COMPUTED_VALUE"""),"Malemba")</f>
        <v>Malemba</v>
      </c>
    </row>
    <row r="19" spans="3:3" x14ac:dyDescent="0.2">
      <c r="C19" s="2" t="str">
        <f ca="1">IFERROR(__xludf.DUMMYFUNCTION("""COMPUTED_VALUE"""),"Manono")</f>
        <v>Manono</v>
      </c>
    </row>
    <row r="20" spans="3:3" x14ac:dyDescent="0.2">
      <c r="C20" s="2" t="str">
        <f ca="1">IFERROR(__xludf.DUMMYFUNCTION("""COMPUTED_VALUE"""),"Mitwaba")</f>
        <v>Mitwaba</v>
      </c>
    </row>
    <row r="21" spans="3:3" x14ac:dyDescent="0.2">
      <c r="C21" s="2" t="str">
        <f ca="1">IFERROR(__xludf.DUMMYFUNCTION("""COMPUTED_VALUE"""),"Moba")</f>
        <v>Moba</v>
      </c>
    </row>
    <row r="22" spans="3:3" x14ac:dyDescent="0.2">
      <c r="C22" s="2" t="str">
        <f ca="1">IFERROR(__xludf.DUMMYFUNCTION("""COMPUTED_VALUE"""),"Namoya")</f>
        <v>Namoya</v>
      </c>
    </row>
    <row r="23" spans="3:3" x14ac:dyDescent="0.2">
      <c r="C23" s="2" t="str">
        <f ca="1">IFERROR(__xludf.DUMMYFUNCTION("""COMPUTED_VALUE"""),"Nyunzu")</f>
        <v>Nyunzu</v>
      </c>
    </row>
    <row r="24" spans="3:3" x14ac:dyDescent="0.2">
      <c r="C24" s="2" t="str">
        <f ca="1">IFERROR(__xludf.DUMMYFUNCTION("""COMPUTED_VALUE"""),"Pweto")</f>
        <v>Pweto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D33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8</v>
      </c>
      <c r="C3" s="2" t="str">
        <f ca="1">IFERROR(__xludf.DUMMYFUNCTION("FILTER('Airfield List'!A3:A1000, 'Airfield List'!B3:B1000 = B3)"),"Abudwak")</f>
        <v>Abudwak</v>
      </c>
      <c r="D3" s="2" t="str">
        <f ca="1">IFERROR(__xludf.DUMMYFUNCTION("FILTER(C3:C1000, ISNUMBER(SEARCH(""International"", C3:C1000)))"),"Kismayo  International")</f>
        <v>Kismayo  International</v>
      </c>
    </row>
    <row r="4" spans="2:4" x14ac:dyDescent="0.2">
      <c r="C4" s="2" t="str">
        <f ca="1">IFERROR(__xludf.DUMMYFUNCTION("""COMPUTED_VALUE"""),"Afmadow")</f>
        <v>Afmadow</v>
      </c>
    </row>
    <row r="5" spans="2:4" x14ac:dyDescent="0.2">
      <c r="C5" s="2" t="str">
        <f ca="1">IFERROR(__xludf.DUMMYFUNCTION("""COMPUTED_VALUE"""),"Baidoa")</f>
        <v>Baidoa</v>
      </c>
    </row>
    <row r="6" spans="2:4" x14ac:dyDescent="0.2">
      <c r="C6" s="2" t="str">
        <f ca="1">IFERROR(__xludf.DUMMYFUNCTION("""COMPUTED_VALUE"""),"Baledogle")</f>
        <v>Baledogle</v>
      </c>
    </row>
    <row r="7" spans="2:4" x14ac:dyDescent="0.2">
      <c r="C7" s="2" t="str">
        <f ca="1">IFERROR(__xludf.DUMMYFUNCTION("""COMPUTED_VALUE"""),"Barawe")</f>
        <v>Barawe</v>
      </c>
    </row>
    <row r="8" spans="2:4" x14ac:dyDescent="0.2">
      <c r="C8" s="2" t="str">
        <f ca="1">IFERROR(__xludf.DUMMYFUNCTION("""COMPUTED_VALUE"""),"Bardera")</f>
        <v>Bardera</v>
      </c>
    </row>
    <row r="9" spans="2:4" x14ac:dyDescent="0.2">
      <c r="C9" s="2" t="str">
        <f ca="1">IFERROR(__xludf.DUMMYFUNCTION("""COMPUTED_VALUE"""),"Beletuen")</f>
        <v>Beletuen</v>
      </c>
    </row>
    <row r="10" spans="2:4" x14ac:dyDescent="0.2">
      <c r="C10" s="2" t="str">
        <f ca="1">IFERROR(__xludf.DUMMYFUNCTION("""COMPUTED_VALUE"""),"Berbera")</f>
        <v>Berbera</v>
      </c>
    </row>
    <row r="11" spans="2:4" x14ac:dyDescent="0.2">
      <c r="C11" s="2" t="str">
        <f ca="1">IFERROR(__xludf.DUMMYFUNCTION("""COMPUTED_VALUE"""),"Berdale")</f>
        <v>Berdale</v>
      </c>
    </row>
    <row r="12" spans="2:4" x14ac:dyDescent="0.2">
      <c r="C12" s="2" t="str">
        <f ca="1">IFERROR(__xludf.DUMMYFUNCTION("""COMPUTED_VALUE"""),"Bosaso")</f>
        <v>Bosaso</v>
      </c>
    </row>
    <row r="13" spans="2:4" x14ac:dyDescent="0.2">
      <c r="C13" s="2" t="str">
        <f ca="1">IFERROR(__xludf.DUMMYFUNCTION("""COMPUTED_VALUE"""),"Bulo Burte")</f>
        <v>Bulo Burte</v>
      </c>
    </row>
    <row r="14" spans="2:4" x14ac:dyDescent="0.2">
      <c r="C14" s="2" t="str">
        <f ca="1">IFERROR(__xludf.DUMMYFUNCTION("""COMPUTED_VALUE"""),"Burao")</f>
        <v>Burao</v>
      </c>
    </row>
    <row r="15" spans="2:4" x14ac:dyDescent="0.2">
      <c r="C15" s="2" t="str">
        <f ca="1">IFERROR(__xludf.DUMMYFUNCTION("""COMPUTED_VALUE"""),"Buurdhuubo")</f>
        <v>Buurdhuubo</v>
      </c>
    </row>
    <row r="16" spans="2:4" x14ac:dyDescent="0.2">
      <c r="C16" s="2" t="str">
        <f ca="1">IFERROR(__xludf.DUMMYFUNCTION("""COMPUTED_VALUE"""),"Conoco")</f>
        <v>Conoco</v>
      </c>
    </row>
    <row r="17" spans="3:3" x14ac:dyDescent="0.2">
      <c r="C17" s="2" t="str">
        <f ca="1">IFERROR(__xludf.DUMMYFUNCTION("""COMPUTED_VALUE"""),"Dhobley")</f>
        <v>Dhobley</v>
      </c>
    </row>
    <row r="18" spans="3:3" x14ac:dyDescent="0.2">
      <c r="C18" s="2" t="str">
        <f ca="1">IFERROR(__xludf.DUMMYFUNCTION("""COMPUTED_VALUE"""),"Dhuusamarreeb")</f>
        <v>Dhuusamarreeb</v>
      </c>
    </row>
    <row r="19" spans="3:3" x14ac:dyDescent="0.2">
      <c r="C19" s="2" t="str">
        <f ca="1">IFERROR(__xludf.DUMMYFUNCTION("""COMPUTED_VALUE"""),"Dinsoor")</f>
        <v>Dinsoor</v>
      </c>
    </row>
    <row r="20" spans="3:3" x14ac:dyDescent="0.2">
      <c r="C20" s="2" t="str">
        <f ca="1">IFERROR(__xludf.DUMMYFUNCTION("""COMPUTED_VALUE"""),"Doolow")</f>
        <v>Doolow</v>
      </c>
    </row>
    <row r="21" spans="3:3" x14ac:dyDescent="0.2">
      <c r="C21" s="2" t="str">
        <f ca="1">IFERROR(__xludf.DUMMYFUNCTION("""COMPUTED_VALUE"""),"El Berde")</f>
        <v>El Berde</v>
      </c>
    </row>
    <row r="22" spans="3:3" x14ac:dyDescent="0.2">
      <c r="C22" s="2" t="str">
        <f ca="1">IFERROR(__xludf.DUMMYFUNCTION("""COMPUTED_VALUE"""),"Galkayo")</f>
        <v>Galkayo</v>
      </c>
    </row>
    <row r="23" spans="3:3" x14ac:dyDescent="0.2">
      <c r="C23" s="2" t="str">
        <f ca="1">IFERROR(__xludf.DUMMYFUNCTION("""COMPUTED_VALUE"""),"Galkayo South")</f>
        <v>Galkayo South</v>
      </c>
    </row>
    <row r="24" spans="3:3" x14ac:dyDescent="0.2">
      <c r="C24" s="2" t="str">
        <f ca="1">IFERROR(__xludf.DUMMYFUNCTION("""COMPUTED_VALUE"""),"Garbahaarrey")</f>
        <v>Garbahaarrey</v>
      </c>
    </row>
    <row r="25" spans="3:3" x14ac:dyDescent="0.2">
      <c r="C25" s="2" t="str">
        <f ca="1">IFERROR(__xludf.DUMMYFUNCTION("""COMPUTED_VALUE"""),"Garowe")</f>
        <v>Garowe</v>
      </c>
    </row>
    <row r="26" spans="3:3" x14ac:dyDescent="0.2">
      <c r="C26" s="2" t="str">
        <f ca="1">IFERROR(__xludf.DUMMYFUNCTION("""COMPUTED_VALUE"""),"Hafun")</f>
        <v>Hafun</v>
      </c>
    </row>
    <row r="27" spans="3:3" x14ac:dyDescent="0.2">
      <c r="C27" s="2" t="str">
        <f ca="1">IFERROR(__xludf.DUMMYFUNCTION("""COMPUTED_VALUE"""),"Hobyo")</f>
        <v>Hobyo</v>
      </c>
    </row>
    <row r="28" spans="3:3" x14ac:dyDescent="0.2">
      <c r="C28" s="2" t="str">
        <f ca="1">IFERROR(__xludf.DUMMYFUNCTION("""COMPUTED_VALUE"""),"Huddur")</f>
        <v>Huddur</v>
      </c>
    </row>
    <row r="29" spans="3:3" x14ac:dyDescent="0.2">
      <c r="C29" s="2" t="str">
        <f ca="1">IFERROR(__xludf.DUMMYFUNCTION("""COMPUTED_VALUE"""),"Johwar")</f>
        <v>Johwar</v>
      </c>
    </row>
    <row r="30" spans="3:3" x14ac:dyDescent="0.2">
      <c r="C30" s="2" t="str">
        <f ca="1">IFERROR(__xludf.DUMMYFUNCTION("""COMPUTED_VALUE"""),"Kismayo  International")</f>
        <v>Kismayo  International</v>
      </c>
    </row>
    <row r="31" spans="3:3" x14ac:dyDescent="0.2">
      <c r="C31" s="2" t="str">
        <f ca="1">IFERROR(__xludf.DUMMYFUNCTION("""COMPUTED_VALUE"""),"Luuq")</f>
        <v>Luuq</v>
      </c>
    </row>
    <row r="32" spans="3:3" x14ac:dyDescent="0.2">
      <c r="C32" s="2" t="str">
        <f ca="1">IFERROR(__xludf.DUMMYFUNCTION("""COMPUTED_VALUE"""),"Mogadishu")</f>
        <v>Mogadishu</v>
      </c>
    </row>
    <row r="33" spans="3:3" x14ac:dyDescent="0.2">
      <c r="C33" s="2" t="str">
        <f ca="1">IFERROR(__xludf.DUMMYFUNCTION("""COMPUTED_VALUE"""),"Wajid")</f>
        <v>Wajid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D3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311</v>
      </c>
      <c r="C3" s="2" t="str">
        <f ca="1">IFERROR(__xludf.DUMMYFUNCTION("FILTER('Airfield List'!A3:A1000, 'Airfield List'!B3:B1000 = B3)"),"N'Djamena International")</f>
        <v>N'Djamena International</v>
      </c>
      <c r="D3" s="2" t="str">
        <f ca="1">IFERROR(__xludf.DUMMYFUNCTION("FILTER(C3:C1000, ISNUMBER(SEARCH(""International"", C3:C1000)))"),"N'Djamena International")</f>
        <v>N'Djamena International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D27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23</v>
      </c>
      <c r="C3" s="2" t="str">
        <f ca="1">IFERROR(__xludf.DUMMYFUNCTION("FILTER('Airfield List'!A3:A1000, 'Airfield List'!B3:B1000 = B3)"),"Ansongo")</f>
        <v>Ansongo</v>
      </c>
      <c r="D3" s="2" t="str">
        <f ca="1">IFERROR(__xludf.DUMMYFUNCTION("FILTER(C3:C1000, ISNUMBER(SEARCH(""International"", C3:C1000)))"),"Bamako International")</f>
        <v>Bamako International</v>
      </c>
    </row>
    <row r="4" spans="2:4" x14ac:dyDescent="0.2">
      <c r="C4" s="2" t="str">
        <f ca="1">IFERROR(__xludf.DUMMYFUNCTION("""COMPUTED_VALUE"""),"Bafoulabe")</f>
        <v>Bafoulabe</v>
      </c>
    </row>
    <row r="5" spans="2:4" x14ac:dyDescent="0.2">
      <c r="C5" s="2" t="str">
        <f ca="1">IFERROR(__xludf.DUMMYFUNCTION("""COMPUTED_VALUE"""),"Bamako International")</f>
        <v>Bamako International</v>
      </c>
    </row>
    <row r="6" spans="2:4" x14ac:dyDescent="0.2">
      <c r="C6" s="2" t="str">
        <f ca="1">IFERROR(__xludf.DUMMYFUNCTION("""COMPUTED_VALUE"""),"Bandiagara")</f>
        <v>Bandiagara</v>
      </c>
    </row>
    <row r="7" spans="2:4" x14ac:dyDescent="0.2">
      <c r="C7" s="2" t="str">
        <f ca="1">IFERROR(__xludf.DUMMYFUNCTION("""COMPUTED_VALUE"""),"Bengassi Manantali")</f>
        <v>Bengassi Manantali</v>
      </c>
    </row>
    <row r="8" spans="2:4" x14ac:dyDescent="0.2">
      <c r="C8" s="2" t="str">
        <f ca="1">IFERROR(__xludf.DUMMYFUNCTION("""COMPUTED_VALUE"""),"Bourem")</f>
        <v>Bourem</v>
      </c>
    </row>
    <row r="9" spans="2:4" x14ac:dyDescent="0.2">
      <c r="C9" s="2" t="str">
        <f ca="1">IFERROR(__xludf.DUMMYFUNCTION("""COMPUTED_VALUE"""),"Dori")</f>
        <v>Dori</v>
      </c>
    </row>
    <row r="10" spans="2:4" x14ac:dyDescent="0.2">
      <c r="C10" s="2" t="str">
        <f ca="1">IFERROR(__xludf.DUMMYFUNCTION("""COMPUTED_VALUE"""),"Douentza")</f>
        <v>Douentza</v>
      </c>
    </row>
    <row r="11" spans="2:4" x14ac:dyDescent="0.2">
      <c r="C11" s="2" t="str">
        <f ca="1">IFERROR(__xludf.DUMMYFUNCTION("""COMPUTED_VALUE"""),"Gao")</f>
        <v>Gao</v>
      </c>
    </row>
    <row r="12" spans="2:4" x14ac:dyDescent="0.2">
      <c r="C12" s="2" t="str">
        <f ca="1">IFERROR(__xludf.DUMMYFUNCTION("""COMPUTED_VALUE"""),"Gorom")</f>
        <v>Gorom</v>
      </c>
    </row>
    <row r="13" spans="2:4" x14ac:dyDescent="0.2">
      <c r="C13" s="2" t="str">
        <f ca="1">IFERROR(__xludf.DUMMYFUNCTION("""COMPUTED_VALUE"""),"Goundam")</f>
        <v>Goundam</v>
      </c>
    </row>
    <row r="14" spans="2:4" x14ac:dyDescent="0.2">
      <c r="C14" s="2" t="str">
        <f ca="1">IFERROR(__xludf.DUMMYFUNCTION("""COMPUTED_VALUE"""),"Kayes")</f>
        <v>Kayes</v>
      </c>
    </row>
    <row r="15" spans="2:4" x14ac:dyDescent="0.2">
      <c r="C15" s="2" t="str">
        <f ca="1">IFERROR(__xludf.DUMMYFUNCTION("""COMPUTED_VALUE"""),"Kenieba")</f>
        <v>Kenieba</v>
      </c>
    </row>
    <row r="16" spans="2:4" x14ac:dyDescent="0.2">
      <c r="C16" s="2" t="str">
        <f ca="1">IFERROR(__xludf.DUMMYFUNCTION("""COMPUTED_VALUE"""),"Kidal")</f>
        <v>Kidal</v>
      </c>
    </row>
    <row r="17" spans="3:3" x14ac:dyDescent="0.2">
      <c r="C17" s="2" t="str">
        <f ca="1">IFERROR(__xludf.DUMMYFUNCTION("""COMPUTED_VALUE"""),"Kolokani")</f>
        <v>Kolokani</v>
      </c>
    </row>
    <row r="18" spans="3:3" x14ac:dyDescent="0.2">
      <c r="C18" s="2" t="str">
        <f ca="1">IFERROR(__xludf.DUMMYFUNCTION("""COMPUTED_VALUE"""),"Koutiala")</f>
        <v>Koutiala</v>
      </c>
    </row>
    <row r="19" spans="3:3" x14ac:dyDescent="0.2">
      <c r="C19" s="2" t="str">
        <f ca="1">IFERROR(__xludf.DUMMYFUNCTION("""COMPUTED_VALUE"""),"Menaka")</f>
        <v>Menaka</v>
      </c>
    </row>
    <row r="20" spans="3:3" x14ac:dyDescent="0.2">
      <c r="C20" s="2" t="str">
        <f ca="1">IFERROR(__xludf.DUMMYFUNCTION("""COMPUTED_VALUE"""),"Mopti")</f>
        <v>Mopti</v>
      </c>
    </row>
    <row r="21" spans="3:3" x14ac:dyDescent="0.2">
      <c r="C21" s="2" t="str">
        <f ca="1">IFERROR(__xludf.DUMMYFUNCTION("""COMPUTED_VALUE"""),"Nara Keibane")</f>
        <v>Nara Keibane</v>
      </c>
    </row>
    <row r="22" spans="3:3" x14ac:dyDescent="0.2">
      <c r="C22" s="2" t="str">
        <f ca="1">IFERROR(__xludf.DUMMYFUNCTION("""COMPUTED_VALUE"""),"Niafounke")</f>
        <v>Niafounke</v>
      </c>
    </row>
    <row r="23" spans="3:3" x14ac:dyDescent="0.2">
      <c r="C23" s="2" t="str">
        <f ca="1">IFERROR(__xludf.DUMMYFUNCTION("""COMPUTED_VALUE"""),"Nioro")</f>
        <v>Nioro</v>
      </c>
    </row>
    <row r="24" spans="3:3" x14ac:dyDescent="0.2">
      <c r="C24" s="2" t="str">
        <f ca="1">IFERROR(__xludf.DUMMYFUNCTION("""COMPUTED_VALUE"""),"Sikasso")</f>
        <v>Sikasso</v>
      </c>
    </row>
    <row r="25" spans="3:3" x14ac:dyDescent="0.2">
      <c r="C25" s="2" t="str">
        <f ca="1">IFERROR(__xludf.DUMMYFUNCTION("""COMPUTED_VALUE"""),"Tessalit")</f>
        <v>Tessalit</v>
      </c>
    </row>
    <row r="26" spans="3:3" x14ac:dyDescent="0.2">
      <c r="C26" s="2" t="str">
        <f ca="1">IFERROR(__xludf.DUMMYFUNCTION("""COMPUTED_VALUE"""),"Tombouctou")</f>
        <v>Tombouctou</v>
      </c>
    </row>
    <row r="27" spans="3:3" x14ac:dyDescent="0.2">
      <c r="C27" s="2" t="str">
        <f ca="1">IFERROR(__xludf.DUMMYFUNCTION("""COMPUTED_VALUE"""),"Yelimane")</f>
        <v>Yelimane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D10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50</v>
      </c>
      <c r="C3" s="2" t="str">
        <f ca="1">IFERROR(__xludf.DUMMYFUNCTION("FILTER('Airfield List'!A3:A1000, 'Airfield List'!B3:B1000 = B3)"),"Bobo-Dioulasso")</f>
        <v>Bobo-Dioulasso</v>
      </c>
      <c r="D3" s="2" t="str">
        <f ca="1">IFERROR(__xludf.DUMMYFUNCTION("FILTER(C3:C1000, ISNUMBER(SEARCH(""International"", C3:C1000)))"),"Fada N'gourma International")</f>
        <v>Fada N'gourma International</v>
      </c>
    </row>
    <row r="4" spans="2:4" x14ac:dyDescent="0.2">
      <c r="C4" s="2" t="str">
        <f ca="1">IFERROR(__xludf.DUMMYFUNCTION("""COMPUTED_VALUE"""),"Boungou")</f>
        <v>Boungou</v>
      </c>
      <c r="D4" s="2" t="str">
        <f ca="1">IFERROR(__xludf.DUMMYFUNCTION("""COMPUTED_VALUE"""),"Ouagadougou International")</f>
        <v>Ouagadougou International</v>
      </c>
    </row>
    <row r="5" spans="2:4" x14ac:dyDescent="0.2">
      <c r="C5" s="2" t="str">
        <f ca="1">IFERROR(__xludf.DUMMYFUNCTION("""COMPUTED_VALUE"""),"Essakane")</f>
        <v>Essakane</v>
      </c>
    </row>
    <row r="6" spans="2:4" x14ac:dyDescent="0.2">
      <c r="C6" s="2" t="str">
        <f ca="1">IFERROR(__xludf.DUMMYFUNCTION("""COMPUTED_VALUE"""),"Fada N'gourma International")</f>
        <v>Fada N'gourma International</v>
      </c>
    </row>
    <row r="7" spans="2:4" x14ac:dyDescent="0.2">
      <c r="C7" s="2" t="str">
        <f ca="1">IFERROR(__xludf.DUMMYFUNCTION("""COMPUTED_VALUE"""),"Ouagadougou International")</f>
        <v>Ouagadougou International</v>
      </c>
    </row>
    <row r="8" spans="2:4" x14ac:dyDescent="0.2">
      <c r="C8" s="2" t="str">
        <f ca="1">IFERROR(__xludf.DUMMYFUNCTION("""COMPUTED_VALUE"""),"Ouahigouya")</f>
        <v>Ouahigouya</v>
      </c>
    </row>
    <row r="9" spans="2:4" x14ac:dyDescent="0.2">
      <c r="C9" s="2" t="str">
        <f ca="1">IFERROR(__xludf.DUMMYFUNCTION("""COMPUTED_VALUE"""),"Wahgnion")</f>
        <v>Wahgnion</v>
      </c>
    </row>
    <row r="10" spans="2:4" x14ac:dyDescent="0.2">
      <c r="C10" s="2" t="str">
        <f ca="1">IFERROR(__xludf.DUMMYFUNCTION("""COMPUTED_VALUE"""),"Yaramoko")</f>
        <v>Yaramoko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2:D4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60</v>
      </c>
      <c r="C3" s="2" t="str">
        <f ca="1">IFERROR(__xludf.DUMMYFUNCTION("FILTER('Airfield List'!A3:A1000, 'Airfield List'!B3:B1000 = B3)"),"Bulawayo")</f>
        <v>Bulawayo</v>
      </c>
      <c r="D3" s="2" t="str">
        <f ca="1">IFERROR(__xludf.DUMMYFUNCTION("FILTER(C3:C1000, ISNUMBER(SEARCH(""International"", C3:C1000)))"),"Harare International")</f>
        <v>Harare International</v>
      </c>
    </row>
    <row r="4" spans="2:4" x14ac:dyDescent="0.2">
      <c r="C4" s="2" t="str">
        <f ca="1">IFERROR(__xludf.DUMMYFUNCTION("""COMPUTED_VALUE"""),"Harare International")</f>
        <v>Harare International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2:D3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458</v>
      </c>
      <c r="C3" s="2" t="str">
        <f ca="1">IFERROR(__xludf.DUMMYFUNCTION("FILTER('Airfield List'!A3:A1000, 'Airfield List'!B3:B1000 = B3)"),"Lusaka International")</f>
        <v>Lusaka International</v>
      </c>
      <c r="D3" s="2" t="str">
        <f ca="1">IFERROR(__xludf.DUMMYFUNCTION("FILTER(C3:C1000, ISNUMBER(SEARCH(""International"", C3:C1000)))"),"Lusaka International")</f>
        <v>Lusaka International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2:D4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169</v>
      </c>
      <c r="C3" s="2" t="str">
        <f ca="1">IFERROR(__xludf.DUMMYFUNCTION("FILTER('Airfield List'!A3:A1000, 'Airfield List'!B3:B1000 = B3)"),"Karonga (Malawi)")</f>
        <v>Karonga (Malawi)</v>
      </c>
      <c r="D3" s="2" t="str">
        <f ca="1">IFERROR(__xludf.DUMMYFUNCTION("FILTER(C3:C1000, ISNUMBER(SEARCH(""International"", C3:C1000)))"),"Lilongwe International")</f>
        <v>Lilongwe International</v>
      </c>
    </row>
    <row r="4" spans="2:4" x14ac:dyDescent="0.2">
      <c r="C4" s="2" t="str">
        <f ca="1">IFERROR(__xludf.DUMMYFUNCTION("""COMPUTED_VALUE"""),"Lilongwe International")</f>
        <v>Lilongwe International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2:D3"/>
  <sheetViews>
    <sheetView workbookViewId="0"/>
  </sheetViews>
  <sheetFormatPr defaultColWidth="12.5703125" defaultRowHeight="15.75" customHeight="1" x14ac:dyDescent="0.2"/>
  <cols>
    <col min="2" max="2" width="18.28515625" customWidth="1"/>
    <col min="3" max="3" width="30.7109375" customWidth="1"/>
    <col min="4" max="4" width="27.8554687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1" t="s">
        <v>229</v>
      </c>
      <c r="C3" s="2" t="str">
        <f ca="1">IFERROR(__xludf.DUMMYFUNCTION("FILTER('Airfield List'!A3:A1000, 'Airfield List'!B3:B1000 = B3)"),"Lanseria International")</f>
        <v>Lanseria International</v>
      </c>
      <c r="D3" s="2" t="str">
        <f ca="1">IFERROR(__xludf.DUMMYFUNCTION("FILTER(C3:C1000, ISNUMBER(SEARCH(""International"", C3:C1000)))"),"Lanseria International")</f>
        <v>Lanseria International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LOOKUP</vt:lpstr>
      <vt:lpstr>Airfield List</vt:lpstr>
      <vt:lpstr>SETTINGS</vt:lpstr>
      <vt:lpstr>KENYA</vt:lpstr>
      <vt:lpstr>TANZANIA</vt:lpstr>
      <vt:lpstr>ETHIOPIA</vt:lpstr>
      <vt:lpstr>DRC</vt:lpstr>
      <vt:lpstr>SOMALIA</vt:lpstr>
      <vt:lpstr>CHAD</vt:lpstr>
      <vt:lpstr>MALI</vt:lpstr>
      <vt:lpstr>BURKINO FASO</vt:lpstr>
      <vt:lpstr>ZIMBABWE</vt:lpstr>
      <vt:lpstr>ZAMBIA</vt:lpstr>
      <vt:lpstr>MALAWI</vt:lpstr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ALLAN</cp:lastModifiedBy>
  <dcterms:modified xsi:type="dcterms:W3CDTF">2025-07-29T10:56:12Z</dcterms:modified>
</cp:coreProperties>
</file>